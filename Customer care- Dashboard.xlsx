
<file path=[Content_Types].xml><?xml version="1.0" encoding="utf-8"?>
<Types xmlns="http://schemas.openxmlformats.org/package/2006/content-types"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bookViews>
    <workbookView xWindow="0" yWindow="0" windowWidth="19635" windowHeight="7500" activeTab="2"/>
  </bookViews>
  <sheets>
    <sheet name="Call Center Data" sheetId="2" r:id="rId1"/>
    <sheet name="Summarize" sheetId="6" r:id="rId2"/>
    <sheet name="Dashbaord" sheetId="8" r:id="rId3"/>
  </sheets>
  <definedNames>
    <definedName name="Slicer_Call_Center1">#N/A</definedName>
    <definedName name="Slicer_Call_Timestamp1">#N/A</definedName>
    <definedName name="Slicer_Channel1">#N/A</definedName>
    <definedName name="Slicer_Sentiment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<sst xmlns="http://schemas.openxmlformats.org/spreadsheetml/2006/main" count="686" uniqueCount="271">
  <si>
    <t>Excel Sample Data</t>
  </si>
  <si>
    <t>Call Center Sentiment Analysis Data</t>
  </si>
  <si>
    <t>ID</t>
  </si>
  <si>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</si>
  <si>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</si>
  <si>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</si>
  <si>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</si>
  <si>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</si>
  <si>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</si>
  <si>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</si>
  <si>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</si>
  <si>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</si>
  <si>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Duration (Minutes)</t>
  </si>
  <si>
    <t>Call Center</t>
  </si>
  <si>
    <t>PIS-39858047</t>
  </si>
  <si>
    <t>Frances Gullefant</t>
  </si>
  <si>
    <t>Neutral</t>
  </si>
  <si>
    <t>Billing Question</t>
  </si>
  <si>
    <t>Charleston</t>
  </si>
  <si>
    <t>West Virginia</t>
  </si>
  <si>
    <t>Chatbot</t>
  </si>
  <si>
    <t>Within SLA</t>
  </si>
  <si>
    <t>Chicago/IL</t>
  </si>
  <si>
    <t>ROH-40287216</t>
  </si>
  <si>
    <t>Harcourt Zoanetti</t>
  </si>
  <si>
    <t>Negative</t>
  </si>
  <si>
    <t>Honolulu</t>
  </si>
  <si>
    <t>Hawaii</t>
  </si>
  <si>
    <t>Call-Center</t>
  </si>
  <si>
    <t>Los Angeles/CA</t>
  </si>
  <si>
    <t>NKC-39578431</t>
  </si>
  <si>
    <t>Washington Oxteby</t>
  </si>
  <si>
    <t>Dallas</t>
  </si>
  <si>
    <t>Texas</t>
  </si>
  <si>
    <t>Denver/CO</t>
  </si>
  <si>
    <t>APY-17008648</t>
  </si>
  <si>
    <t>Rafe Duffitt</t>
  </si>
  <si>
    <t>Very Negative</t>
  </si>
  <si>
    <t>Fort Myers</t>
  </si>
  <si>
    <t>Florida</t>
  </si>
  <si>
    <t>Email</t>
  </si>
  <si>
    <t>Below SLA</t>
  </si>
  <si>
    <t>MHK-38443501</t>
  </si>
  <si>
    <t>Tris Bent</t>
  </si>
  <si>
    <t>Positive</t>
  </si>
  <si>
    <t>Tuscaloosa</t>
  </si>
  <si>
    <t>Alabama</t>
  </si>
  <si>
    <t>Web</t>
  </si>
  <si>
    <t>QKL-49133006</t>
  </si>
  <si>
    <t>Kassie Elman</t>
  </si>
  <si>
    <t>South Carolina</t>
  </si>
  <si>
    <t>Baltimore/MD</t>
  </si>
  <si>
    <t>ZPZ-31710059</t>
  </si>
  <si>
    <t>Elbertina Hewins</t>
  </si>
  <si>
    <t>Very Positive</t>
  </si>
  <si>
    <t>Payments</t>
  </si>
  <si>
    <t>Pensacola</t>
  </si>
  <si>
    <t>IJF-13083880</t>
  </si>
  <si>
    <t>Garland Chuney</t>
  </si>
  <si>
    <t>Little Rock</t>
  </si>
  <si>
    <t>Arkansas</t>
  </si>
  <si>
    <t>ZKW-68562847</t>
  </si>
  <si>
    <t>Caroljean Bischop</t>
  </si>
  <si>
    <t>Nashville</t>
  </si>
  <si>
    <t>Tennessee</t>
  </si>
  <si>
    <t>NIL-47926257</t>
  </si>
  <si>
    <t>Delmor McKleod</t>
  </si>
  <si>
    <t>El Paso</t>
  </si>
  <si>
    <t>BPQ-80812775</t>
  </si>
  <si>
    <t>Julee O'Gavin</t>
  </si>
  <si>
    <t>Santa Ana</t>
  </si>
  <si>
    <t>California</t>
  </si>
  <si>
    <t>Above SLA</t>
  </si>
  <si>
    <t>ZOK-34480332</t>
  </si>
  <si>
    <t>Jaye Gribbon</t>
  </si>
  <si>
    <t>Huntington</t>
  </si>
  <si>
    <t>ZMB-79323804</t>
  </si>
  <si>
    <t>Brodie Dobrowski</t>
  </si>
  <si>
    <t>Pittsburgh</t>
  </si>
  <si>
    <t>Pennsylvania</t>
  </si>
  <si>
    <t>YYO-56445305</t>
  </si>
  <si>
    <t>Sibylla Kemet</t>
  </si>
  <si>
    <t>Tucson</t>
  </si>
  <si>
    <t>Arizona</t>
  </si>
  <si>
    <t>JYD-67455825</t>
  </si>
  <si>
    <t>Quintilla Hourston</t>
  </si>
  <si>
    <t>Des Moines</t>
  </si>
  <si>
    <t>Iowa</t>
  </si>
  <si>
    <t>KNO-93249512</t>
  </si>
  <si>
    <t>Maggi Simpson</t>
  </si>
  <si>
    <t>San Francisco</t>
  </si>
  <si>
    <t>VFG-63863025</t>
  </si>
  <si>
    <t>Early Andrassy</t>
  </si>
  <si>
    <t>Lansing</t>
  </si>
  <si>
    <t>Michigan</t>
  </si>
  <si>
    <t>UCT-41608771</t>
  </si>
  <si>
    <t>Ettie Ruoff</t>
  </si>
  <si>
    <t>Washington</t>
  </si>
  <si>
    <t>District of Columbia</t>
  </si>
  <si>
    <t>YLF-83918836</t>
  </si>
  <si>
    <t>Bogey McReath</t>
  </si>
  <si>
    <t>New York City</t>
  </si>
  <si>
    <t>New York</t>
  </si>
  <si>
    <t>QCH-83950486</t>
  </si>
  <si>
    <t>Sephira Philippart</t>
  </si>
  <si>
    <t>Madison</t>
  </si>
  <si>
    <t>Wisconsin</t>
  </si>
  <si>
    <t>PDB-14404239</t>
  </si>
  <si>
    <t>Charles Sandison</t>
  </si>
  <si>
    <t>Fort Pierce</t>
  </si>
  <si>
    <t>LFZ-17229282</t>
  </si>
  <si>
    <t>Zora Keelin</t>
  </si>
  <si>
    <t>Lubbock</t>
  </si>
  <si>
    <t>VKV-67119644</t>
  </si>
  <si>
    <t>Lillis Dewhurst</t>
  </si>
  <si>
    <t>Stockton</t>
  </si>
  <si>
    <t>PBY-32667898</t>
  </si>
  <si>
    <t>Luz Gudgeon</t>
  </si>
  <si>
    <t>Service Outage</t>
  </si>
  <si>
    <t>Corpus Christi</t>
  </si>
  <si>
    <t>EWI-18960031</t>
  </si>
  <si>
    <t>Abigale Morgan</t>
  </si>
  <si>
    <t>Minneapolis</t>
  </si>
  <si>
    <t>Minnesota</t>
  </si>
  <si>
    <t>IYX-48770048</t>
  </si>
  <si>
    <t>Minette Muzzillo</t>
  </si>
  <si>
    <t>Colorado Springs</t>
  </si>
  <si>
    <t>Colorado</t>
  </si>
  <si>
    <t>EVO-87671386</t>
  </si>
  <si>
    <t>Nanon FitzGilbert</t>
  </si>
  <si>
    <t>Abilene</t>
  </si>
  <si>
    <t>ZYX-10467563</t>
  </si>
  <si>
    <t>Ginelle Olver</t>
  </si>
  <si>
    <t>Fort Lauderdale</t>
  </si>
  <si>
    <t>DZU-03236134</t>
  </si>
  <si>
    <t>Tricia Kinnie</t>
  </si>
  <si>
    <t>Shawnee Mission</t>
  </si>
  <si>
    <t>Kansas</t>
  </si>
  <si>
    <t>CAZ-10660311</t>
  </si>
  <si>
    <t>Kristoforo Burnell</t>
  </si>
  <si>
    <t>Gainesville</t>
  </si>
  <si>
    <t>ESF-57588548</t>
  </si>
  <si>
    <t>Dulsea Pendry</t>
  </si>
  <si>
    <t>Erie</t>
  </si>
  <si>
    <t>WKS-55916097</t>
  </si>
  <si>
    <t>Alberik Jacques</t>
  </si>
  <si>
    <t>Houston</t>
  </si>
  <si>
    <t>OHX-59443580</t>
  </si>
  <si>
    <t>Banky Falla</t>
  </si>
  <si>
    <t>Saint Paul</t>
  </si>
  <si>
    <t>TLA-11600824</t>
  </si>
  <si>
    <t>Ganny Crampsy</t>
  </si>
  <si>
    <t>YPB-82095843</t>
  </si>
  <si>
    <t>Shari Adrienne</t>
  </si>
  <si>
    <t>Fort Worth</t>
  </si>
  <si>
    <t>LZU-62237096</t>
  </si>
  <si>
    <t>Charo Aisbett</t>
  </si>
  <si>
    <t>Salt Lake City</t>
  </si>
  <si>
    <t>Utah</t>
  </si>
  <si>
    <t>XCX-53374693</t>
  </si>
  <si>
    <t>Francyne Hagergham</t>
  </si>
  <si>
    <t>PJL-11752230</t>
  </si>
  <si>
    <t>Lindsay Bubb</t>
  </si>
  <si>
    <t>South Lake Tahoe</t>
  </si>
  <si>
    <t>MFC-52269149</t>
  </si>
  <si>
    <t>Roobbie Pickervance</t>
  </si>
  <si>
    <t>Montgomery</t>
  </si>
  <si>
    <t>TQC-88855863</t>
  </si>
  <si>
    <t>Erminia Lummasana</t>
  </si>
  <si>
    <t>Providence</t>
  </si>
  <si>
    <t>Rhode Island</t>
  </si>
  <si>
    <t>FGR-90006976</t>
  </si>
  <si>
    <t>Ariel Pittendreigh</t>
  </si>
  <si>
    <t>Richmond</t>
  </si>
  <si>
    <t>Virginia</t>
  </si>
  <si>
    <t>PAT-23706620</t>
  </si>
  <si>
    <t>Rudie Tomsen</t>
  </si>
  <si>
    <t>Johnstown</t>
  </si>
  <si>
    <t>XRX-56871498</t>
  </si>
  <si>
    <t>Alric Scrane</t>
  </si>
  <si>
    <t>BYM-24034403</t>
  </si>
  <si>
    <t>Eyde Djurevic</t>
  </si>
  <si>
    <t>Bronx</t>
  </si>
  <si>
    <t>TNK-37391425</t>
  </si>
  <si>
    <t>Hubey Wartonby</t>
  </si>
  <si>
    <t>Las Vegas</t>
  </si>
  <si>
    <t>Nevada</t>
  </si>
  <si>
    <t>JJM-32557838</t>
  </si>
  <si>
    <t>Cirstoforo Jemmett</t>
  </si>
  <si>
    <t>KWC-18652469</t>
  </si>
  <si>
    <t>Elijah Goalby</t>
  </si>
  <si>
    <t>Pasadena</t>
  </si>
  <si>
    <t>GCS-45015293</t>
  </si>
  <si>
    <t>Thaddus Seeley</t>
  </si>
  <si>
    <t>Sacramento</t>
  </si>
  <si>
    <t>IZX-08099835</t>
  </si>
  <si>
    <t>Brody Rebichon</t>
  </si>
  <si>
    <t>Chicago</t>
  </si>
  <si>
    <t>Illinois</t>
  </si>
  <si>
    <t>TPZ-92635583</t>
  </si>
  <si>
    <t>Eartha Boner</t>
  </si>
  <si>
    <t>Fort Wayne</t>
  </si>
  <si>
    <t>Indiana</t>
  </si>
  <si>
    <t>JOT-87331404</t>
  </si>
  <si>
    <t>Loralee Shivell</t>
  </si>
  <si>
    <t>Kansas City</t>
  </si>
  <si>
    <t>Missouri</t>
  </si>
  <si>
    <t>OKK-04567923</t>
  </si>
  <si>
    <t>Zacherie Tigner</t>
  </si>
  <si>
    <t>Long Beach</t>
  </si>
  <si>
    <t>TCX-30032546</t>
  </si>
  <si>
    <t>Madelena Pinnock</t>
  </si>
  <si>
    <t>HMX-04214019</t>
  </si>
  <si>
    <t>Mira Beddows</t>
  </si>
  <si>
    <t>Baton Rouge</t>
  </si>
  <si>
    <t>Louisiana</t>
  </si>
  <si>
    <t>SYU-34524338</t>
  </si>
  <si>
    <t>Giralda Gebby</t>
  </si>
  <si>
    <t>Naperville</t>
  </si>
  <si>
    <t>GBF-72465641</t>
  </si>
  <si>
    <t>Shelagh Washington</t>
  </si>
  <si>
    <t>FMF-68865737</t>
  </si>
  <si>
    <t>Janeczka Caze</t>
  </si>
  <si>
    <t>WMA-45712668</t>
  </si>
  <si>
    <t>Angie Francklin</t>
  </si>
  <si>
    <t>Evansville</t>
  </si>
  <si>
    <t>VEC-69408692</t>
  </si>
  <si>
    <t>Anna-maria McPeice</t>
  </si>
  <si>
    <t>Rockford</t>
  </si>
  <si>
    <t>MBN-58485152</t>
  </si>
  <si>
    <t>Jude Traise</t>
  </si>
  <si>
    <t>Harrisburg</t>
  </si>
  <si>
    <t>VBY-78584211</t>
  </si>
  <si>
    <t>Evangeline Dillingham</t>
  </si>
  <si>
    <t>Reno</t>
  </si>
  <si>
    <t>WSO-69134806</t>
  </si>
  <si>
    <t>Patti Gocher</t>
  </si>
  <si>
    <t>Bloomington</t>
  </si>
  <si>
    <t>MYP-30178430</t>
  </si>
  <si>
    <t>Cora Buggs</t>
  </si>
  <si>
    <t>Katy</t>
  </si>
  <si>
    <t>FRU-31409409</t>
  </si>
  <si>
    <t>Othella Kindle</t>
  </si>
  <si>
    <t>VMZ-59696572</t>
  </si>
  <si>
    <t>Sheppard Withull</t>
  </si>
  <si>
    <t>Concord</t>
  </si>
  <si>
    <t>JCE-87896568</t>
  </si>
  <si>
    <t>Llewellyn Pablos</t>
  </si>
  <si>
    <t>GZL-83273642</t>
  </si>
  <si>
    <t>Lurleen Swadden</t>
  </si>
  <si>
    <t>YHK-31842577</t>
  </si>
  <si>
    <t>Ardith Bunting</t>
  </si>
  <si>
    <t>Columbus</t>
  </si>
  <si>
    <t>Ohio</t>
  </si>
  <si>
    <t>BGA-81071725</t>
  </si>
  <si>
    <t>Wylie Gramer</t>
  </si>
  <si>
    <t>Georgia</t>
  </si>
  <si>
    <t>CRQ-64410572</t>
  </si>
  <si>
    <t>Bat Pond</t>
  </si>
  <si>
    <t>AVERAGE CSAT SCORE BY CALL CENTRE</t>
  </si>
  <si>
    <t>CALL VOLUME TREND</t>
  </si>
  <si>
    <t>SENTIMENT BY CALL CENTRE</t>
  </si>
  <si>
    <t>Row Labels</t>
  </si>
  <si>
    <t>Average of CSAT Score</t>
  </si>
  <si>
    <t>Count of Call Duration (Minutes)</t>
  </si>
  <si>
    <t>Count of Sentiment</t>
  </si>
  <si>
    <t>Column Labels</t>
  </si>
  <si>
    <t>Grand Total</t>
  </si>
  <si>
    <t>AVERAGE CSAT BY CHANNEL</t>
  </si>
  <si>
    <t>CALL DURATION  BY REASON</t>
  </si>
  <si>
    <t>Average of Call Duration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</si>
</sst>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[$-409]d\-mmm\-yyyy;@"/>
    <numFmt numFmtId="167" formatCode="dd\ mmm\ yyyy"/>
  </numFmts>
  <fonts count="9">
    <font>
      <sz val="11"/>
      <color theme="1"/>
      <name val="Aptos Narrow"/>
      <charset val="134"/>
      <scheme val="minor"/>
    </font>
    <font>
      <sz val="14"/>
      <color theme="4" tint="-0.499984740745262"/>
      <name val="Aptos Narrow"/>
      <charset val="134"/>
      <scheme val="minor"/>
    </font>
    <font>
      <sz val="16"/>
      <color theme="4" tint="-0.499984740745262"/>
      <name val="Aptos Narrow"/>
      <charset val="134"/>
      <scheme val="minor"/>
    </font>
    <font>
      <sz val="14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4"/>
      <color rgb="FF272760"/>
      <name val="Calibri"/>
      <charset val="134"/>
    </font>
    <font>
      <b/>
      <sz val="13"/>
      <color rgb="FF272760"/>
      <name val="Calibri"/>
      <charset val="134"/>
    </font>
    <font>
      <b/>
      <sz val="12"/>
      <color rgb="FFFFFFFF"/>
      <name val="Calibri"/>
      <charset val="134"/>
    </font>
    <font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166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0" fontId="4" fillId="0" borderId="0" xfId="0" applyFont="1"/>
    <xf numFmtId="0" fontId="5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14" fontId="8" fillId="0" borderId="2" xfId="0" applyNumberFormat="1" applyFont="1" applyBorder="1" applyAlignment="1">
      <alignment vertical="center"/>
    </xf>
    <xf numFmtId="14" fontId="4" fillId="0" borderId="0" xfId="0" applyNumberFormat="1" applyFo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2">
    <dxf>
      <numFmt numFmtId="167" formatCode="dd\ mmm\ yyyy"/>
    </dxf>
    <dxf>
      <numFmt numFmtId="166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[Customer care- Dashboard.xlsx]Summarize!PivotTable17</c:name>
    <c:fmtId val="26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9315211403506405E-2"/>
          <c:y val="9.2941977997431202E-2"/>
          <c:w val="0.80588394160982901"/>
          <c:h val="0.68926743731501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Summarize!$H$3:$H$4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2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Summarize!$G$5:$G$9</c:f>
              <c:strCache>
                <c:ptCount val="4"/>
                <c:pt idx="0">
                  <c:v>Baltimore/MD</c:v>
                </c:pt>
                <c:pt idx="1">
                  <c:v>Chicago/IL</c:v>
                </c:pt>
                <c:pt idx="2">
                  <c:v>Denver/CO</c:v>
                </c:pt>
                <c:pt idx="3">
                  <c:v>Los Angeles/CA</c:v>
                </c:pt>
              </c:strCache>
            </c:strRef>
          </c:cat>
          <c:val>
            <c:numRef>
              <c:f>Summarize!$H$5:$H$9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  <c:pt idx="2">
                  <c:v>5</c:v>
                </c:pt>
                <c:pt idx="3">
                  <c:v>11</c:v>
                </c:pt>
              </c:numCache>
            </c:numRef>
          </c:val>
        </c:ser>
        <c:ser>
          <c:idx val="1"/>
          <c:order val="1"/>
          <c:tx>
            <c:strRef>
              <c:f>Summarize!$I$3:$I$4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Summarize!$G$5:$G$9</c:f>
              <c:strCache>
                <c:ptCount val="4"/>
                <c:pt idx="0">
                  <c:v>Baltimore/MD</c:v>
                </c:pt>
                <c:pt idx="1">
                  <c:v>Chicago/IL</c:v>
                </c:pt>
                <c:pt idx="2">
                  <c:v>Denver/CO</c:v>
                </c:pt>
                <c:pt idx="3">
                  <c:v>Los Angeles/CA</c:v>
                </c:pt>
              </c:strCache>
            </c:strRef>
          </c:cat>
          <c:val>
            <c:numRef>
              <c:f>Summarize!$I$5:$I$9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3">
                  <c:v>2</c:v>
                </c:pt>
              </c:numCache>
            </c:numRef>
          </c:val>
        </c:ser>
        <c:ser>
          <c:idx val="2"/>
          <c:order val="2"/>
          <c:tx>
            <c:strRef>
              <c:f>Summarize!$J$3:$J$4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Summarize!$G$5:$G$9</c:f>
              <c:strCache>
                <c:ptCount val="4"/>
                <c:pt idx="0">
                  <c:v>Baltimore/MD</c:v>
                </c:pt>
                <c:pt idx="1">
                  <c:v>Chicago/IL</c:v>
                </c:pt>
                <c:pt idx="2">
                  <c:v>Denver/CO</c:v>
                </c:pt>
                <c:pt idx="3">
                  <c:v>Los Angeles/CA</c:v>
                </c:pt>
              </c:strCache>
            </c:strRef>
          </c:cat>
          <c:val>
            <c:numRef>
              <c:f>Summarize!$J$5:$J$9</c:f>
              <c:numCache>
                <c:formatCode>General</c:formatCode>
                <c:ptCount val="4"/>
                <c:pt idx="0">
                  <c:v>4</c:v>
                </c:pt>
                <c:pt idx="3">
                  <c:v>6</c:v>
                </c:pt>
              </c:numCache>
            </c:numRef>
          </c:val>
        </c:ser>
        <c:ser>
          <c:idx val="3"/>
          <c:order val="3"/>
          <c:tx>
            <c:strRef>
              <c:f>Summarize!$K$3:$K$4</c:f>
              <c:strCache>
                <c:ptCount val="1"/>
                <c:pt idx="0">
                  <c:v>Very Negative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Summarize!$G$5:$G$9</c:f>
              <c:strCache>
                <c:ptCount val="4"/>
                <c:pt idx="0">
                  <c:v>Baltimore/MD</c:v>
                </c:pt>
                <c:pt idx="1">
                  <c:v>Chicago/IL</c:v>
                </c:pt>
                <c:pt idx="2">
                  <c:v>Denver/CO</c:v>
                </c:pt>
                <c:pt idx="3">
                  <c:v>Los Angeles/CA</c:v>
                </c:pt>
              </c:strCache>
            </c:strRef>
          </c:cat>
          <c:val>
            <c:numRef>
              <c:f>Summarize!$K$5:$K$9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</c:ser>
        <c:ser>
          <c:idx val="4"/>
          <c:order val="4"/>
          <c:tx>
            <c:strRef>
              <c:f>Summarize!$L$3:$L$4</c:f>
              <c:strCache>
                <c:ptCount val="1"/>
                <c:pt idx="0">
                  <c:v>Very Positive</c:v>
                </c:pt>
              </c:strCache>
            </c:strRef>
          </c:tx>
          <c:spPr>
            <a:solidFill>
              <a:schemeClr val="accent2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Summarize!$G$5:$G$9</c:f>
              <c:strCache>
                <c:ptCount val="4"/>
                <c:pt idx="0">
                  <c:v>Baltimore/MD</c:v>
                </c:pt>
                <c:pt idx="1">
                  <c:v>Chicago/IL</c:v>
                </c:pt>
                <c:pt idx="2">
                  <c:v>Denver/CO</c:v>
                </c:pt>
                <c:pt idx="3">
                  <c:v>Los Angeles/CA</c:v>
                </c:pt>
              </c:strCache>
            </c:strRef>
          </c:cat>
          <c:val>
            <c:numRef>
              <c:f>Summarize!$L$5:$L$9</c:f>
              <c:numCache>
                <c:formatCode>General</c:formatCode>
                <c:ptCount val="4"/>
                <c:pt idx="0">
                  <c:v>1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873568"/>
        <c:axId val="940874112"/>
      </c:barChart>
      <c:catAx>
        <c:axId val="940873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Microsoft JhengHei" panose="020B0604030504040204" pitchFamily="34" charset="-120"/>
                    <a:ea typeface="Microsoft JhengHei" panose="020B0604030504040204" pitchFamily="34" charset="-120"/>
                    <a:cs typeface="+mn-cs"/>
                  </a:defRPr>
                </a:pPr>
                <a:r>
                  <a:rPr lang="en-IN">
                    <a:solidFill>
                      <a:sysClr val="windowText" lastClr="000000"/>
                    </a:solidFill>
                    <a:latin typeface="Arial Black" panose="020B0A04020102020204" pitchFamily="34" charset="0"/>
                  </a:rPr>
                  <a:t>SENTIMENT DISTRIBUTION</a:t>
                </a:r>
              </a:p>
            </c:rich>
          </c:tx>
          <c:layout>
            <c:manualLayout>
              <c:xMode val="edge"/>
              <c:yMode val="edge"/>
              <c:x val="0.36408309685015999"/>
              <c:y val="1.4086334952811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Microsoft JhengHei" panose="020B0604030504040204" pitchFamily="34" charset="-120"/>
                  <a:ea typeface="Microsoft JhengHei" panose="020B0604030504040204" pitchFamily="34" charset="-12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ln>
                  <a:noFill/>
                </a:ln>
                <a:solidFill>
                  <a:schemeClr val="tx1"/>
                </a:solidFill>
                <a:effectLst/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940874112"/>
        <c:crosses val="autoZero"/>
        <c:auto val="1"/>
        <c:lblAlgn val="ctr"/>
        <c:lblOffset val="100"/>
        <c:noMultiLvlLbl val="0"/>
      </c:catAx>
      <c:valAx>
        <c:axId val="940874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ln>
                  <a:noFill/>
                </a:ln>
                <a:solidFill>
                  <a:schemeClr val="tx1"/>
                </a:solidFill>
                <a:effectLst/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94087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715938738079601"/>
          <c:y val="0.890126648330411"/>
          <c:w val="0.56203161256218104"/>
          <c:h val="6.1859161221868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ln>
                <a:noFill/>
              </a:ln>
              <a:solidFill>
                <a:schemeClr val="tx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762454-731d-4d8c-98a1-221e8aab14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>
          <a:ln>
            <a:noFill/>
          </a:ln>
          <a:solidFill>
            <a:schemeClr val="tx1"/>
          </a:solidFill>
          <a:effectLst/>
          <a:latin typeface="Microsoft JhengHei" panose="020B0604030504040204" pitchFamily="34" charset="-120"/>
          <a:ea typeface="Microsoft JhengHei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care- Dashboard.xlsx]Summarize!PivotTable16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CALL VOLUME TREND</a:t>
            </a:r>
          </a:p>
        </c:rich>
      </c:tx>
      <c:layout>
        <c:manualLayout>
          <c:xMode val="edge"/>
          <c:yMode val="edge"/>
          <c:x val="0.35767133693863101"/>
          <c:y val="2.2204562453253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glow rad="50800">
              <a:schemeClr val="accent2">
                <a:lumMod val="20000"/>
                <a:lumOff val="80000"/>
                <a:alpha val="95000"/>
              </a:schemeClr>
            </a:glow>
            <a:outerShdw blurRad="50800" dist="50800" dir="5400000" algn="ctr" rotWithShape="0">
              <a:schemeClr val="accent2">
                <a:lumMod val="40000"/>
                <a:lumOff val="60000"/>
              </a:scheme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1775953276057602E-2"/>
          <c:y val="0.10052634773892601"/>
          <c:w val="0.88634853343602304"/>
          <c:h val="0.80027760197917297"/>
        </c:manualLayout>
      </c:layout>
      <c:lineChart>
        <c:grouping val="standard"/>
        <c:varyColors val="0"/>
        <c:ser>
          <c:idx val="0"/>
          <c:order val="0"/>
          <c:tx>
            <c:strRef>
              <c:f>Summarize!$E$2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>
              <a:glow rad="50800">
                <a:schemeClr val="accent2">
                  <a:lumMod val="20000"/>
                  <a:lumOff val="80000"/>
                  <a:alpha val="95000"/>
                </a:schemeClr>
              </a:glow>
              <a:outerShdw blurRad="50800" dist="50800" dir="5400000" algn="ctr" rotWithShape="0">
                <a:schemeClr val="accent2">
                  <a:lumMod val="40000"/>
                  <a:lumOff val="60000"/>
                </a:scheme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20000"/>
                    <a:lumOff val="8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Summarize!$D$3:$D$34</c:f>
              <c:strCache>
                <c:ptCount val="31"/>
                <c:pt idx="0">
                  <c:v>1/1/2024</c:v>
                </c:pt>
                <c:pt idx="1">
                  <c:v>1/2/2024</c:v>
                </c:pt>
                <c:pt idx="2">
                  <c:v>1/3/2024</c:v>
                </c:pt>
                <c:pt idx="3">
                  <c:v>1/4/2024</c:v>
                </c:pt>
                <c:pt idx="4">
                  <c:v>1/5/2024</c:v>
                </c:pt>
                <c:pt idx="5">
                  <c:v>1/6/2024</c:v>
                </c:pt>
                <c:pt idx="6">
                  <c:v>1/7/2024</c:v>
                </c:pt>
                <c:pt idx="7">
                  <c:v>1/8/2024</c:v>
                </c:pt>
                <c:pt idx="8">
                  <c:v>1/9/2024</c:v>
                </c:pt>
                <c:pt idx="9">
                  <c:v>1/10/2024</c:v>
                </c:pt>
                <c:pt idx="10">
                  <c:v>1/11/2024</c:v>
                </c:pt>
                <c:pt idx="11">
                  <c:v>1/12/2024</c:v>
                </c:pt>
                <c:pt idx="12">
                  <c:v>1/13/2024</c:v>
                </c:pt>
                <c:pt idx="13">
                  <c:v>1/14/2024</c:v>
                </c:pt>
                <c:pt idx="14">
                  <c:v>1/15/2024</c:v>
                </c:pt>
                <c:pt idx="15">
                  <c:v>1/16/2024</c:v>
                </c:pt>
                <c:pt idx="16">
                  <c:v>1/17/2024</c:v>
                </c:pt>
                <c:pt idx="17">
                  <c:v>1/18/2024</c:v>
                </c:pt>
                <c:pt idx="18">
                  <c:v>1/19/2024</c:v>
                </c:pt>
                <c:pt idx="19">
                  <c:v>1/20/2024</c:v>
                </c:pt>
                <c:pt idx="20">
                  <c:v>1/21/2024</c:v>
                </c:pt>
                <c:pt idx="21">
                  <c:v>1/22/2024</c:v>
                </c:pt>
                <c:pt idx="22">
                  <c:v>1/23/2024</c:v>
                </c:pt>
                <c:pt idx="23">
                  <c:v>1/24/2024</c:v>
                </c:pt>
                <c:pt idx="24">
                  <c:v>1/25/2024</c:v>
                </c:pt>
                <c:pt idx="25">
                  <c:v>1/26/2024</c:v>
                </c:pt>
                <c:pt idx="26">
                  <c:v>1/27/2024</c:v>
                </c:pt>
                <c:pt idx="27">
                  <c:v>1/28/2024</c:v>
                </c:pt>
                <c:pt idx="28">
                  <c:v>1/29/2024</c:v>
                </c:pt>
                <c:pt idx="29">
                  <c:v>1/30/2024</c:v>
                </c:pt>
                <c:pt idx="30">
                  <c:v>1/31/2024</c:v>
                </c:pt>
              </c:strCache>
            </c:strRef>
          </c:cat>
          <c:val>
            <c:numRef>
              <c:f>Summarize!$E$3:$E$34</c:f>
              <c:numCache>
                <c:formatCode>General</c:formatCode>
                <c:ptCount val="31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878464"/>
        <c:axId val="940881184"/>
      </c:lineChart>
      <c:dateAx>
        <c:axId val="94087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0" vertOverflow="ellipsis" wrap="square" anchor="ctr" anchorCtr="1" forceAA="0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940881184"/>
        <c:crosses val="autoZero"/>
        <c:auto val="0"/>
        <c:lblOffset val="100"/>
        <c:baseTimeUnit val="days"/>
      </c:dateAx>
      <c:valAx>
        <c:axId val="940881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94087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5904d5-f330-4718-a944-5ab24b6de3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44803217493601"/>
          <c:y val="0.161122856686226"/>
          <c:w val="0.72497681539807501"/>
          <c:h val="0.7072831000291629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Baltimore/MD</c:v>
              </c:pt>
              <c:pt idx="1">
                <c:v>Chicago/IL</c:v>
              </c:pt>
              <c:pt idx="2">
                <c:v>Denver/CO</c:v>
              </c:pt>
              <c:pt idx="3">
                <c:v>Los Angeles/CA</c:v>
              </c:pt>
            </c:strLit>
          </c:cat>
          <c:val>
            <c:numLit>
              <c:formatCode>General</c:formatCode>
              <c:ptCount val="4"/>
              <c:pt idx="0">
                <c:v>5.1481481481481497</c:v>
              </c:pt>
              <c:pt idx="1">
                <c:v>4.71428571428571</c:v>
              </c:pt>
              <c:pt idx="2">
                <c:v>3.5</c:v>
              </c:pt>
              <c:pt idx="3">
                <c:v>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0315664"/>
        <c:axId val="1097550640"/>
      </c:barChart>
      <c:catAx>
        <c:axId val="94031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ysClr val="windowText" lastClr="000000"/>
                    </a:solidFill>
                    <a:latin typeface="Arial Black" panose="020B0A04020102020204" pitchFamily="34" charset="0"/>
                  </a:rPr>
                  <a:t>AVERAGE CSAT SCORE BY CALL CENTRE</a:t>
                </a:r>
              </a:p>
            </c:rich>
          </c:tx>
          <c:layout>
            <c:manualLayout>
              <c:xMode val="edge"/>
              <c:yMode val="edge"/>
              <c:x val="0.20923381452318501"/>
              <c:y val="7.7314814814814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1097550640"/>
        <c:crosses val="autoZero"/>
        <c:auto val="1"/>
        <c:lblAlgn val="ctr"/>
        <c:lblOffset val="100"/>
        <c:noMultiLvlLbl val="0"/>
      </c:catAx>
      <c:valAx>
        <c:axId val="10975506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ysClr val="windowText" lastClr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94031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dda9f5d-3db2-422c-bb24-7d4ebd6052f9}"/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care- Dashboard.xlsx]Summarize!PivotTable14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AVERAGE CSAT SCORE BY CHANNEL </a:t>
            </a:r>
          </a:p>
        </c:rich>
      </c:tx>
      <c:layout>
        <c:manualLayout>
          <c:xMode val="edge"/>
          <c:yMode val="edge"/>
          <c:x val="0.16705580534134001"/>
          <c:y val="1.8764900180335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Summarize!$B$12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Summarize!$A$13:$A$17</c:f>
              <c:strCache>
                <c:ptCount val="4"/>
                <c:pt idx="0">
                  <c:v>Call-Center</c:v>
                </c:pt>
                <c:pt idx="1">
                  <c:v>Chatbot</c:v>
                </c:pt>
                <c:pt idx="2">
                  <c:v>Email</c:v>
                </c:pt>
                <c:pt idx="3">
                  <c:v>Web</c:v>
                </c:pt>
              </c:strCache>
            </c:strRef>
          </c:cat>
          <c:val>
            <c:numRef>
              <c:f>Summarize!$B$13:$B$17</c:f>
              <c:numCache>
                <c:formatCode>General</c:formatCode>
                <c:ptCount val="4"/>
                <c:pt idx="0">
                  <c:v>5.6956521739130404</c:v>
                </c:pt>
                <c:pt idx="1">
                  <c:v>4.8181818181818201</c:v>
                </c:pt>
                <c:pt idx="2">
                  <c:v>5.5</c:v>
                </c:pt>
                <c:pt idx="3">
                  <c:v>5.4117647058823497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7556080"/>
        <c:axId val="1097544656"/>
      </c:barChart>
      <c:catAx>
        <c:axId val="109755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ysClr val="windowText" lastClr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1097544656"/>
        <c:crosses val="autoZero"/>
        <c:auto val="1"/>
        <c:lblAlgn val="ctr"/>
        <c:lblOffset val="100"/>
        <c:noMultiLvlLbl val="0"/>
      </c:catAx>
      <c:valAx>
        <c:axId val="109754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109755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40cd881-de3e-475b-b251-7d104807ae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AVERAGE DURATION BY CALL REASON</a:t>
            </a:r>
          </a:p>
        </c:rich>
      </c:tx>
      <c:layout>
        <c:manualLayout>
          <c:xMode val="edge"/>
          <c:yMode val="edge"/>
          <c:x val="0.16887454953967801"/>
          <c:y val="4.143127774386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82842202153101"/>
          <c:y val="0.14882114965597401"/>
          <c:w val="0.694817443272014"/>
          <c:h val="0.71830189177824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Billing Question</c:v>
              </c:pt>
              <c:pt idx="1">
                <c:v>Payments</c:v>
              </c:pt>
              <c:pt idx="2">
                <c:v>Service Outage</c:v>
              </c:pt>
            </c:strLit>
          </c:cat>
          <c:val>
            <c:numLit>
              <c:formatCode>General</c:formatCode>
              <c:ptCount val="3"/>
              <c:pt idx="0">
                <c:v>26.98</c:v>
              </c:pt>
              <c:pt idx="1">
                <c:v>19.6666666666667</c:v>
              </c:pt>
              <c:pt idx="2">
                <c:v>31.625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7545744"/>
        <c:axId val="1097557168"/>
      </c:barChart>
      <c:catAx>
        <c:axId val="1097545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1097557168"/>
        <c:crosses val="autoZero"/>
        <c:auto val="1"/>
        <c:lblAlgn val="ctr"/>
        <c:lblOffset val="100"/>
        <c:noMultiLvlLbl val="0"/>
      </c:catAx>
      <c:valAx>
        <c:axId val="109755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en-US"/>
          </a:p>
        </c:txPr>
        <c:crossAx val="109754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e48d924-8c0a-4337-a17b-b6369a765e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32</xdr:col>
      <xdr:colOff>554181</xdr:colOff>
      <xdr:row>50</xdr:row>
      <xdr:rowOff>103909</xdr:rowOff>
    </xdr:to>
    <xdr:sp macro="" textlink="">
      <xdr:nvSpPr>
        <xdr:cNvPr id="2" name="Rectangle 1"/>
        <xdr:cNvSpPr/>
      </xdr:nvSpPr>
      <xdr:spPr>
        <a:xfrm>
          <a:off x="0" y="0"/>
          <a:ext cx="22499320" cy="86760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478847</xdr:colOff>
      <xdr:row>8</xdr:row>
      <xdr:rowOff>47007</xdr:rowOff>
    </xdr:from>
    <xdr:to>
      <xdr:col>13</xdr:col>
      <xdr:colOff>273379</xdr:colOff>
      <xdr:row>24</xdr:row>
      <xdr:rowOff>101435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554181</xdr:colOff>
      <xdr:row>7</xdr:row>
      <xdr:rowOff>51954</xdr:rowOff>
    </xdr:from>
    <xdr:to>
      <xdr:col>22</xdr:col>
      <xdr:colOff>475349</xdr:colOff>
      <xdr:row>25</xdr:row>
      <xdr:rowOff>45386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225136</xdr:colOff>
      <xdr:row>26</xdr:row>
      <xdr:rowOff>121227</xdr:rowOff>
    </xdr:from>
    <xdr:to>
      <xdr:col>7</xdr:col>
      <xdr:colOff>189902</xdr:colOff>
      <xdr:row>45</xdr:row>
      <xdr:rowOff>22992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502227</xdr:colOff>
      <xdr:row>26</xdr:row>
      <xdr:rowOff>155863</xdr:rowOff>
    </xdr:from>
    <xdr:to>
      <xdr:col>14</xdr:col>
      <xdr:colOff>585234</xdr:colOff>
      <xdr:row>44</xdr:row>
      <xdr:rowOff>109582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138546</xdr:colOff>
      <xdr:row>26</xdr:row>
      <xdr:rowOff>103909</xdr:rowOff>
    </xdr:from>
    <xdr:to>
      <xdr:col>22</xdr:col>
      <xdr:colOff>512978</xdr:colOff>
      <xdr:row>45</xdr:row>
      <xdr:rowOff>13136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329045</xdr:colOff>
      <xdr:row>17</xdr:row>
      <xdr:rowOff>121227</xdr:rowOff>
    </xdr:from>
    <xdr:to>
      <xdr:col>27</xdr:col>
      <xdr:colOff>162146</xdr:colOff>
      <xdr:row>31</xdr:row>
      <xdr:rowOff>52853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ll Timestamp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l Timestamp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88130" y="3035300"/>
              <a:ext cx="1890395" cy="2332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294409</xdr:colOff>
      <xdr:row>32</xdr:row>
      <xdr:rowOff>51955</xdr:rowOff>
    </xdr:from>
    <xdr:to>
      <xdr:col>27</xdr:col>
      <xdr:colOff>130483</xdr:colOff>
      <xdr:row>45</xdr:row>
      <xdr:rowOff>103909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ll Cent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l Center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53205" y="5537835"/>
              <a:ext cx="1893570" cy="2280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329045</xdr:colOff>
      <xdr:row>0</xdr:row>
      <xdr:rowOff>138545</xdr:rowOff>
    </xdr:from>
    <xdr:to>
      <xdr:col>27</xdr:col>
      <xdr:colOff>3464</xdr:colOff>
      <xdr:row>16</xdr:row>
      <xdr:rowOff>103909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nti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ntiment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88130" y="138430"/>
              <a:ext cx="1731645" cy="270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121227</xdr:colOff>
      <xdr:row>0</xdr:row>
      <xdr:rowOff>103908</xdr:rowOff>
    </xdr:from>
    <xdr:to>
      <xdr:col>30</xdr:col>
      <xdr:colOff>558600</xdr:colOff>
      <xdr:row>13</xdr:row>
      <xdr:rowOff>103908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hann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23050" y="103505"/>
              <a:ext cx="1809115" cy="222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294408</xdr:colOff>
      <xdr:row>0</xdr:row>
      <xdr:rowOff>69273</xdr:rowOff>
    </xdr:from>
    <xdr:to>
      <xdr:col>18</xdr:col>
      <xdr:colOff>51954</xdr:colOff>
      <xdr:row>7</xdr:row>
      <xdr:rowOff>17319</xdr:rowOff>
    </xdr:to>
    <xdr:sp macro="" textlink="">
      <xdr:nvSpPr>
        <xdr:cNvPr id="13" name="Oval 12"/>
        <xdr:cNvSpPr/>
      </xdr:nvSpPr>
      <xdr:spPr>
        <a:xfrm>
          <a:off x="9209405" y="69215"/>
          <a:ext cx="3186430" cy="11480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003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  <a:latin typeface="Gill Sans Ultra Bold" panose="020B0A02020104020203" pitchFamily="34" charset="0"/>
            </a:rPr>
            <a:t>AVERAGE</a:t>
          </a:r>
          <a:r>
            <a:rPr lang="en-IN" sz="1600" baseline="0">
              <a:solidFill>
                <a:schemeClr val="tx1"/>
              </a:solidFill>
              <a:latin typeface="Gill Sans Ultra Bold" panose="020B0A02020104020203" pitchFamily="34" charset="0"/>
            </a:rPr>
            <a:t> CSAT </a:t>
          </a:r>
          <a:endParaRPr lang="en-IN" sz="1600">
            <a:solidFill>
              <a:schemeClr val="tx1"/>
            </a:solidFill>
            <a:latin typeface="Gill Sans Ultra Bold" panose="020B0A02020104020203" pitchFamily="34" charset="0"/>
          </a:endParaRPr>
        </a:p>
      </xdr:txBody>
    </xdr:sp>
    <xdr:clientData/>
  </xdr:twoCellAnchor>
  <xdr:oneCellAnchor>
    <xdr:from>
      <xdr:col>15</xdr:col>
      <xdr:colOff>103909</xdr:colOff>
      <xdr:row>3</xdr:row>
      <xdr:rowOff>34636</xdr:rowOff>
    </xdr:from>
    <xdr:ext cx="945836" cy="392922"/>
    <xdr:sp macro="" textlink="">
      <xdr:nvSpPr>
        <xdr:cNvPr id="14" name="TextBox 13"/>
        <xdr:cNvSpPr txBox="1"/>
      </xdr:nvSpPr>
      <xdr:spPr>
        <a:xfrm>
          <a:off x="10390505" y="548640"/>
          <a:ext cx="946150" cy="3930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000">
              <a:solidFill>
                <a:schemeClr val="accent4">
                  <a:lumMod val="50000"/>
                </a:schemeClr>
              </a:solidFill>
              <a:latin typeface="Gill Sans Ultra Bold" panose="020B0A02020104020203" pitchFamily="34" charset="0"/>
              <a:ea typeface="Segoe UI Black" panose="020B0A02040204020203" pitchFamily="34" charset="0"/>
            </a:rPr>
            <a:t>5.32</a:t>
          </a:r>
        </a:p>
      </xdr:txBody>
    </xdr:sp>
    <xdr:clientData/>
  </xdr:oneCellAnchor>
  <xdr:twoCellAnchor>
    <xdr:from>
      <xdr:col>3</xdr:col>
      <xdr:colOff>450273</xdr:colOff>
      <xdr:row>0</xdr:row>
      <xdr:rowOff>138544</xdr:rowOff>
    </xdr:from>
    <xdr:to>
      <xdr:col>8</xdr:col>
      <xdr:colOff>138546</xdr:colOff>
      <xdr:row>7</xdr:row>
      <xdr:rowOff>86589</xdr:rowOff>
    </xdr:to>
    <xdr:sp macro="" textlink="">
      <xdr:nvSpPr>
        <xdr:cNvPr id="15" name="Oval 14"/>
        <xdr:cNvSpPr/>
      </xdr:nvSpPr>
      <xdr:spPr>
        <a:xfrm>
          <a:off x="2507615" y="138430"/>
          <a:ext cx="3117215" cy="1148080"/>
        </a:xfrm>
        <a:prstGeom prst="ellipse">
          <a:avLst/>
        </a:prstGeom>
      </xdr:spPr>
      <xdr:style>
        <a:lnRef idx="1">
          <a:schemeClr val="accent5"/>
        </a:lnRef>
        <a:fillRef idx="1003">
          <a:schemeClr val="lt1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latin typeface="Gill Sans Ultra Bold" panose="020B0A02020104020203" pitchFamily="34" charset="0"/>
              <a:ea typeface="Segoe UI Black" panose="020B0A02040204020203" pitchFamily="34" charset="0"/>
            </a:rPr>
            <a:t>HIGHEST CSAT</a:t>
          </a:r>
        </a:p>
        <a:p>
          <a:pPr algn="l"/>
          <a:endParaRPr lang="en-IN" sz="1600">
            <a:latin typeface="Gill Sans Ultra Bold" panose="020B0A02020104020203" pitchFamily="34" charset="0"/>
            <a:ea typeface="Segoe UI Black" panose="020B0A02040204020203" pitchFamily="34" charset="0"/>
          </a:endParaRPr>
        </a:p>
      </xdr:txBody>
    </xdr:sp>
    <xdr:clientData/>
  </xdr:twoCellAnchor>
  <xdr:oneCellAnchor>
    <xdr:from>
      <xdr:col>15</xdr:col>
      <xdr:colOff>259773</xdr:colOff>
      <xdr:row>3</xdr:row>
      <xdr:rowOff>121228</xdr:rowOff>
    </xdr:from>
    <xdr:ext cx="184731" cy="392922"/>
    <xdr:sp macro="" textlink="">
      <xdr:nvSpPr>
        <xdr:cNvPr id="16" name="TextBox 15"/>
        <xdr:cNvSpPr txBox="1"/>
      </xdr:nvSpPr>
      <xdr:spPr>
        <a:xfrm>
          <a:off x="10546715" y="635000"/>
          <a:ext cx="184785" cy="3930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2000">
            <a:latin typeface="Gill Sans Ultra Bold" panose="020B0A02020104020203" pitchFamily="34" charset="0"/>
          </a:endParaRPr>
        </a:p>
      </xdr:txBody>
    </xdr:sp>
    <xdr:clientData/>
  </xdr:oneCellAnchor>
  <xdr:twoCellAnchor editAs="oneCell">
    <xdr:from>
      <xdr:col>1</xdr:col>
      <xdr:colOff>381001</xdr:colOff>
      <xdr:row>0</xdr:row>
      <xdr:rowOff>17319</xdr:rowOff>
    </xdr:from>
    <xdr:to>
      <xdr:col>3</xdr:col>
      <xdr:colOff>329046</xdr:colOff>
      <xdr:row>7</xdr:row>
      <xdr:rowOff>138546</xdr:rowOff>
    </xdr:to>
    <xdr:pic>
      <xdr:nvPicPr>
        <xdr:cNvPr id="17" name="Picture 16" descr="World Fiber Net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0" y="17145"/>
          <a:ext cx="1319530" cy="1321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329044</xdr:colOff>
      <xdr:row>3</xdr:row>
      <xdr:rowOff>69273</xdr:rowOff>
    </xdr:from>
    <xdr:ext cx="523092" cy="333932"/>
    <xdr:sp macro="" textlink="">
      <xdr:nvSpPr>
        <xdr:cNvPr id="12" name="TextBox 11"/>
        <xdr:cNvSpPr txBox="1"/>
      </xdr:nvSpPr>
      <xdr:spPr>
        <a:xfrm>
          <a:off x="3757930" y="583565"/>
          <a:ext cx="522605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>
              <a:solidFill>
                <a:schemeClr val="accent4">
                  <a:lumMod val="75000"/>
                </a:schemeClr>
              </a:solidFill>
              <a:latin typeface="Berlin Sans FB Demi" panose="020E0802020502020306" pitchFamily="34" charset="0"/>
            </a:rPr>
            <a:t>6.0</a:t>
          </a:r>
        </a:p>
      </xdr:txBody>
    </xdr:sp>
    <xdr:clientData/>
  </xdr:oneCellAnchor>
  <xdr:oneCellAnchor>
    <xdr:from>
      <xdr:col>4</xdr:col>
      <xdr:colOff>658090</xdr:colOff>
      <xdr:row>5</xdr:row>
      <xdr:rowOff>34636</xdr:rowOff>
    </xdr:from>
    <xdr:ext cx="1394805" cy="257279"/>
    <xdr:sp macro="" textlink="">
      <xdr:nvSpPr>
        <xdr:cNvPr id="18" name="TextBox 17"/>
        <xdr:cNvSpPr txBox="1"/>
      </xdr:nvSpPr>
      <xdr:spPr>
        <a:xfrm>
          <a:off x="3401060" y="891540"/>
          <a:ext cx="1394460" cy="2571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>
              <a:solidFill>
                <a:srgbClr val="002060"/>
              </a:solidFill>
              <a:latin typeface="Franklin Gothic Demi" panose="020B0703020102020204" pitchFamily="34" charset="0"/>
            </a:rPr>
            <a:t>LOS ANGELES/CA</a:t>
          </a:r>
        </a:p>
      </xdr:txBody>
    </xdr:sp>
    <xdr:clientData/>
  </xdr:oneCellAnchor>
  <xdr:twoCellAnchor>
    <xdr:from>
      <xdr:col>8</xdr:col>
      <xdr:colOff>450273</xdr:colOff>
      <xdr:row>0</xdr:row>
      <xdr:rowOff>121227</xdr:rowOff>
    </xdr:from>
    <xdr:to>
      <xdr:col>13</xdr:col>
      <xdr:colOff>34636</xdr:colOff>
      <xdr:row>7</xdr:row>
      <xdr:rowOff>155866</xdr:rowOff>
    </xdr:to>
    <xdr:sp macro="" textlink="">
      <xdr:nvSpPr>
        <xdr:cNvPr id="19" name="Oval 18"/>
        <xdr:cNvSpPr/>
      </xdr:nvSpPr>
      <xdr:spPr>
        <a:xfrm>
          <a:off x="5936615" y="120650"/>
          <a:ext cx="3013075" cy="1235075"/>
        </a:xfrm>
        <a:prstGeom prst="ellipse">
          <a:avLst/>
        </a:prstGeom>
      </xdr:spPr>
      <xdr:style>
        <a:lnRef idx="1">
          <a:schemeClr val="accent6"/>
        </a:lnRef>
        <a:fillRef idx="1001">
          <a:schemeClr val="lt2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latin typeface="Gill Sans Ultra Bold" panose="020B0A02020104020203" pitchFamily="34" charset="0"/>
            </a:rPr>
            <a:t>LOWEST CSAT</a:t>
          </a:r>
        </a:p>
      </xdr:txBody>
    </xdr:sp>
    <xdr:clientData/>
  </xdr:twoCellAnchor>
  <xdr:oneCellAnchor>
    <xdr:from>
      <xdr:col>10</xdr:col>
      <xdr:colOff>311727</xdr:colOff>
      <xdr:row>3</xdr:row>
      <xdr:rowOff>86591</xdr:rowOff>
    </xdr:from>
    <xdr:ext cx="478464" cy="333932"/>
    <xdr:sp macro="" textlink="">
      <xdr:nvSpPr>
        <xdr:cNvPr id="20" name="TextBox 19"/>
        <xdr:cNvSpPr txBox="1"/>
      </xdr:nvSpPr>
      <xdr:spPr>
        <a:xfrm>
          <a:off x="7169150" y="600710"/>
          <a:ext cx="478790" cy="334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>
              <a:solidFill>
                <a:schemeClr val="accent4">
                  <a:lumMod val="75000"/>
                </a:schemeClr>
              </a:solidFill>
              <a:latin typeface="Berlin Sans FB Demi" panose="020E0802020502020306" pitchFamily="34" charset="0"/>
            </a:rPr>
            <a:t>3.5</a:t>
          </a:r>
        </a:p>
      </xdr:txBody>
    </xdr:sp>
    <xdr:clientData/>
  </xdr:oneCellAnchor>
  <xdr:oneCellAnchor>
    <xdr:from>
      <xdr:col>10</xdr:col>
      <xdr:colOff>0</xdr:colOff>
      <xdr:row>5</xdr:row>
      <xdr:rowOff>86590</xdr:rowOff>
    </xdr:from>
    <xdr:ext cx="1023293" cy="257279"/>
    <xdr:sp macro="" textlink="">
      <xdr:nvSpPr>
        <xdr:cNvPr id="21" name="TextBox 20"/>
        <xdr:cNvSpPr txBox="1"/>
      </xdr:nvSpPr>
      <xdr:spPr>
        <a:xfrm>
          <a:off x="6858000" y="943610"/>
          <a:ext cx="1022985" cy="2571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>
              <a:solidFill>
                <a:schemeClr val="accent4">
                  <a:lumMod val="50000"/>
                </a:schemeClr>
              </a:solidFill>
              <a:latin typeface="Franklin Gothic Demi" panose="020B0703020102020204" pitchFamily="34" charset="0"/>
            </a:rPr>
            <a:t>DENVER/CO</a:t>
          </a:r>
        </a:p>
      </xdr:txBody>
    </xdr:sp>
    <xdr:clientData/>
  </xdr:oneCellAnchor>
  <xdr:twoCellAnchor editAs="oneCell">
    <xdr:from>
      <xdr:col>18</xdr:col>
      <xdr:colOff>616095</xdr:colOff>
      <xdr:row>0</xdr:row>
      <xdr:rowOff>0</xdr:rowOff>
    </xdr:from>
    <xdr:to>
      <xdr:col>20</xdr:col>
      <xdr:colOff>484911</xdr:colOff>
      <xdr:row>6</xdr:row>
      <xdr:rowOff>151230</xdr:rowOff>
    </xdr:to>
    <xdr:pic>
      <xdr:nvPicPr>
        <xdr:cNvPr id="26" name="Picture 25" descr="Customer satisfaction - Free marketing icons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60350" y="0"/>
          <a:ext cx="1240155" cy="117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552451</xdr:colOff>
      <xdr:row>14</xdr:row>
      <xdr:rowOff>152401</xdr:rowOff>
    </xdr:from>
    <xdr:to>
      <xdr:col>31</xdr:col>
      <xdr:colOff>190500</xdr:colOff>
      <xdr:row>28</xdr:row>
      <xdr:rowOff>38101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69050" y="2552700"/>
          <a:ext cx="2381250" cy="2286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mily" refreshedDate="45934.859500231498" createdVersion="5" refreshedVersion="5" minRefreshableVersion="3" recordCount="70">
  <cacheSource type="worksheet">
    <worksheetSource ref="E6:M76" sheet="Call Center Data"/>
  </cacheSource>
  <cacheFields count="9">
    <cacheField name="CSAT Score" numFmtId="0">
      <sharedItems containsSemiMixedTypes="0" containsNonDate="0" containsString="0"/>
    </cacheField>
    <cacheField name="Call Timestamp" numFmtId="14">
      <sharedItems containsSemiMixedTypes="0" containsNonDate="0" containsDate="1" containsString="0" minDate="2024-01-01T00:00:00" maxDate="2024-01-31T00:00:00" count="3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</sharedItems>
    </cacheField>
    <cacheField name="Reason" numFmtId="0">
      <sharedItems count="3">
        <s v="Billing Question"/>
        <s v="Payments"/>
        <s v="Service Outage"/>
      </sharedItems>
    </cacheField>
    <cacheField name="City" numFmtId="0">
      <sharedItems count="57">
        <s v="Charleston"/>
        <s v="Honolulu"/>
        <s v="Dallas"/>
        <s v="Fort Myers"/>
        <s v="Tuscaloosa"/>
        <s v="Pensacola"/>
        <s v="Little Rock"/>
        <s v="Nashville"/>
        <s v="El Paso"/>
        <s v="Santa Ana"/>
        <s v="Huntington"/>
        <s v="Pittsburgh"/>
        <s v="Tucson"/>
        <s v="Des Moines"/>
        <s v="San Francisco"/>
        <s v="Lansing"/>
        <s v="Washington"/>
        <s v="New York City"/>
        <s v="Madison"/>
        <s v="Fort Pierce"/>
        <s v="Lubbock"/>
        <s v="Stockton"/>
        <s v="Corpus Christi"/>
        <s v="Minneapolis"/>
        <s v="Colorado Springs"/>
        <s v="Abilene"/>
        <s v="Fort Lauderdale"/>
        <s v="Shawnee Mission"/>
        <s v="Gainesville"/>
        <s v="Erie"/>
        <s v="Houston"/>
        <s v="Saint Paul"/>
        <s v="Fort Worth"/>
        <s v="Salt Lake City"/>
        <s v="South Lake Tahoe"/>
        <s v="Montgomery"/>
        <s v="Providence"/>
        <s v="Richmond"/>
        <s v="Johnstown"/>
        <s v="Bronx"/>
        <s v="Las Vegas"/>
        <s v="Pasadena"/>
        <s v="Sacramento"/>
        <s v="Chicago"/>
        <s v="Fort Wayne"/>
        <s v="Kansas City"/>
        <s v="Long Beach"/>
        <s v="Baton Rouge"/>
        <s v="Naperville"/>
        <s v="Evansville"/>
        <s v="Rockford"/>
        <s v="Harrisburg"/>
        <s v="Reno"/>
        <s v="Bloomington"/>
        <s v="Katy"/>
        <s v="Concord"/>
        <s v="Columbus"/>
      </sharedItems>
    </cacheField>
    <cacheField name="State" numFmtId="0">
      <sharedItems containsSemiMixedTypes="0" containsNonDate="0" containsString="0"/>
    </cacheField>
    <cacheField name="Channel" numFmtId="0">
      <sharedItems count="4">
        <s v="Chatbot"/>
        <s v="Call-Center"/>
        <s v="Email"/>
        <s v="Web"/>
      </sharedItems>
    </cacheField>
    <cacheField name="Response Time" numFmtId="0">
      <sharedItems count="3">
        <s v="Within SLA"/>
        <s v="Below SLA"/>
        <s v="Above SLA"/>
      </sharedItems>
    </cacheField>
    <cacheField name="Call Duration (Minutes)" numFmtId="0">
      <sharedItems containsSemiMixedTypes="0" containsString="0" containsNumber="1" containsInteger="1" minValue="0" maxValue="45" count="34">
        <n v="14"/>
        <n v="32"/>
        <n v="6"/>
        <n v="26"/>
        <n v="9"/>
        <n v="15"/>
        <n v="12"/>
        <n v="42"/>
        <n v="44"/>
        <n v="29"/>
        <n v="35"/>
        <n v="30"/>
        <n v="8"/>
        <n v="20"/>
        <n v="31"/>
        <n v="39"/>
        <n v="38"/>
        <n v="41"/>
        <n v="7"/>
        <n v="34"/>
        <n v="36"/>
        <n v="17"/>
        <n v="25"/>
        <n v="43"/>
        <n v="27"/>
        <n v="13"/>
        <n v="22"/>
        <n v="18"/>
        <n v="23"/>
        <n v="37"/>
        <n v="10"/>
        <n v="45"/>
        <n v="33"/>
        <n v="19"/>
      </sharedItems>
    </cacheField>
    <cacheField name="Call Center" numFmtId="0">
      <sharedItems count="4">
        <s v="Chicago/IL"/>
        <s v="Los Angeles/CA"/>
        <s v="Denver/CO"/>
        <s v="Baltimore/M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amily" refreshedDate="45934.867947453698" createdVersion="5" refreshedVersion="5" minRefreshableVersion="3" recordCount="70">
  <cacheSource type="worksheet">
    <worksheetSource ref="B6:M76" sheet="Call Center Data"/>
  </cacheSource>
  <cacheFields count="12">
    <cacheField name="ID" numFmtId="0">
      <sharedItems containsSemiMixedTypes="0" containsNonDate="0" containsString="0"/>
    </cacheField>
    <cacheField name="Customer Name" numFmtId="0">
      <sharedItems containsSemiMixedTypes="0" containsNonDate="0" containsString="0"/>
    </cacheField>
    <cacheField name="Sentiment" numFmtId="0">
      <sharedItems count="5">
        <s v="Neutral"/>
        <s v="Negative"/>
        <s v="Very Negative"/>
        <s v="Positive"/>
        <s v="Very Positive"/>
      </sharedItems>
    </cacheField>
    <cacheField name="CSAT Score" numFmtId="0">
      <sharedItems containsSemiMixedTypes="0" containsString="0" containsNumber="1" containsInteger="1" minValue="1" maxValue="10" count="10">
        <n v="8"/>
        <n v="5"/>
        <n v="3"/>
        <n v="4"/>
        <n v="10"/>
        <n v="6"/>
        <n v="7"/>
        <n v="2"/>
        <n v="9"/>
        <n v="1"/>
      </sharedItems>
    </cacheField>
    <cacheField name="Call Timestamp" numFmtId="14">
      <sharedItems containsSemiMixedTypes="0" containsNonDate="0" containsDate="1" containsString="0" minDate="2024-01-01T00:00:00" maxDate="2024-01-31T00:00:00" count="31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</sharedItems>
    </cacheField>
    <cacheField name="Reason" numFmtId="0">
      <sharedItems count="3">
        <s v="Billing Question"/>
        <s v="Payments"/>
        <s v="Service Outage"/>
      </sharedItems>
    </cacheField>
    <cacheField name="City" numFmtId="0">
      <sharedItems containsSemiMixedTypes="0" containsNonDate="0" containsString="0"/>
    </cacheField>
    <cacheField name="State" numFmtId="0">
      <sharedItems containsSemiMixedTypes="0" containsNonDate="0" containsString="0"/>
    </cacheField>
    <cacheField name="Channel" numFmtId="0">
      <sharedItems count="4">
        <s v="Chatbot"/>
        <s v="Call-Center"/>
        <s v="Email"/>
        <s v="Web"/>
      </sharedItems>
    </cacheField>
    <cacheField name="Response Time" numFmtId="0">
      <sharedItems count="3">
        <s v="Within SLA"/>
        <s v="Below SLA"/>
        <s v="Above SLA"/>
      </sharedItems>
    </cacheField>
    <cacheField name="Call Duration (Minutes)" numFmtId="0">
      <sharedItems containsSemiMixedTypes="0" containsNonDate="0" containsString="0"/>
    </cacheField>
    <cacheField name="Call Center" numFmtId="0">
      <sharedItems count="4">
        <s v="Chicago/IL"/>
        <s v="Los Angeles/CA"/>
        <s v="Denver/CO"/>
        <s v="Baltimore/M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n v="8"/>
    <x v="0"/>
    <x v="0"/>
    <x v="0"/>
    <s v="West Virginia"/>
    <x v="0"/>
    <x v="0"/>
    <x v="0"/>
    <x v="0"/>
  </r>
  <r>
    <n v="5"/>
    <x v="0"/>
    <x v="0"/>
    <x v="1"/>
    <s v="Hawaii"/>
    <x v="1"/>
    <x v="0"/>
    <x v="1"/>
    <x v="1"/>
  </r>
  <r>
    <n v="3"/>
    <x v="1"/>
    <x v="0"/>
    <x v="2"/>
    <s v="Texas"/>
    <x v="0"/>
    <x v="0"/>
    <x v="2"/>
    <x v="2"/>
  </r>
  <r>
    <n v="4"/>
    <x v="1"/>
    <x v="0"/>
    <x v="3"/>
    <s v="Florida"/>
    <x v="2"/>
    <x v="1"/>
    <x v="3"/>
    <x v="1"/>
  </r>
  <r>
    <n v="8"/>
    <x v="1"/>
    <x v="0"/>
    <x v="4"/>
    <s v="Alabama"/>
    <x v="3"/>
    <x v="0"/>
    <x v="3"/>
    <x v="1"/>
  </r>
  <r>
    <n v="4"/>
    <x v="2"/>
    <x v="0"/>
    <x v="0"/>
    <s v="South Carolina"/>
    <x v="3"/>
    <x v="0"/>
    <x v="2"/>
    <x v="3"/>
  </r>
  <r>
    <n v="10"/>
    <x v="2"/>
    <x v="1"/>
    <x v="5"/>
    <s v="Florida"/>
    <x v="1"/>
    <x v="0"/>
    <x v="4"/>
    <x v="1"/>
  </r>
  <r>
    <n v="3"/>
    <x v="3"/>
    <x v="0"/>
    <x v="6"/>
    <s v="Arkansas"/>
    <x v="1"/>
    <x v="0"/>
    <x v="5"/>
    <x v="3"/>
  </r>
  <r>
    <n v="3"/>
    <x v="3"/>
    <x v="0"/>
    <x v="7"/>
    <s v="Tennessee"/>
    <x v="3"/>
    <x v="0"/>
    <x v="6"/>
    <x v="1"/>
  </r>
  <r>
    <n v="6"/>
    <x v="4"/>
    <x v="0"/>
    <x v="8"/>
    <s v="Texas"/>
    <x v="3"/>
    <x v="0"/>
    <x v="7"/>
    <x v="1"/>
  </r>
  <r>
    <n v="3"/>
    <x v="4"/>
    <x v="0"/>
    <x v="9"/>
    <s v="California"/>
    <x v="0"/>
    <x v="2"/>
    <x v="8"/>
    <x v="3"/>
  </r>
  <r>
    <n v="7"/>
    <x v="5"/>
    <x v="0"/>
    <x v="10"/>
    <s v="West Virginia"/>
    <x v="0"/>
    <x v="0"/>
    <x v="9"/>
    <x v="3"/>
  </r>
  <r>
    <n v="5"/>
    <x v="5"/>
    <x v="0"/>
    <x v="11"/>
    <s v="Pennsylvania"/>
    <x v="0"/>
    <x v="0"/>
    <x v="10"/>
    <x v="3"/>
  </r>
  <r>
    <n v="2"/>
    <x v="6"/>
    <x v="0"/>
    <x v="12"/>
    <s v="Arizona"/>
    <x v="3"/>
    <x v="0"/>
    <x v="11"/>
    <x v="1"/>
  </r>
  <r>
    <n v="6"/>
    <x v="6"/>
    <x v="1"/>
    <x v="13"/>
    <s v="Iowa"/>
    <x v="1"/>
    <x v="0"/>
    <x v="9"/>
    <x v="1"/>
  </r>
  <r>
    <n v="9"/>
    <x v="7"/>
    <x v="1"/>
    <x v="14"/>
    <s v="California"/>
    <x v="1"/>
    <x v="0"/>
    <x v="4"/>
    <x v="3"/>
  </r>
  <r>
    <n v="9"/>
    <x v="7"/>
    <x v="0"/>
    <x v="15"/>
    <s v="Michigan"/>
    <x v="0"/>
    <x v="0"/>
    <x v="12"/>
    <x v="1"/>
  </r>
  <r>
    <n v="3"/>
    <x v="7"/>
    <x v="0"/>
    <x v="16"/>
    <s v="District of Columbia"/>
    <x v="0"/>
    <x v="2"/>
    <x v="10"/>
    <x v="0"/>
  </r>
  <r>
    <n v="7"/>
    <x v="7"/>
    <x v="0"/>
    <x v="17"/>
    <s v="New York"/>
    <x v="3"/>
    <x v="0"/>
    <x v="13"/>
    <x v="3"/>
  </r>
  <r>
    <n v="3"/>
    <x v="8"/>
    <x v="0"/>
    <x v="18"/>
    <s v="Wisconsin"/>
    <x v="3"/>
    <x v="0"/>
    <x v="14"/>
    <x v="1"/>
  </r>
  <r>
    <n v="5"/>
    <x v="8"/>
    <x v="0"/>
    <x v="19"/>
    <s v="Florida"/>
    <x v="2"/>
    <x v="1"/>
    <x v="15"/>
    <x v="1"/>
  </r>
  <r>
    <n v="3"/>
    <x v="9"/>
    <x v="0"/>
    <x v="20"/>
    <s v="Texas"/>
    <x v="1"/>
    <x v="0"/>
    <x v="16"/>
    <x v="2"/>
  </r>
  <r>
    <n v="4"/>
    <x v="9"/>
    <x v="0"/>
    <x v="21"/>
    <s v="California"/>
    <x v="1"/>
    <x v="2"/>
    <x v="8"/>
    <x v="2"/>
  </r>
  <r>
    <n v="4"/>
    <x v="10"/>
    <x v="2"/>
    <x v="22"/>
    <s v="Texas"/>
    <x v="0"/>
    <x v="0"/>
    <x v="17"/>
    <x v="0"/>
  </r>
  <r>
    <n v="4"/>
    <x v="10"/>
    <x v="0"/>
    <x v="23"/>
    <s v="Minnesota"/>
    <x v="0"/>
    <x v="0"/>
    <x v="18"/>
    <x v="3"/>
  </r>
  <r>
    <n v="4"/>
    <x v="11"/>
    <x v="0"/>
    <x v="24"/>
    <s v="Colorado"/>
    <x v="2"/>
    <x v="0"/>
    <x v="19"/>
    <x v="1"/>
  </r>
  <r>
    <n v="10"/>
    <x v="11"/>
    <x v="0"/>
    <x v="25"/>
    <s v="Texas"/>
    <x v="3"/>
    <x v="1"/>
    <x v="20"/>
    <x v="1"/>
  </r>
  <r>
    <n v="8"/>
    <x v="12"/>
    <x v="0"/>
    <x v="26"/>
    <s v="Florida"/>
    <x v="1"/>
    <x v="0"/>
    <x v="4"/>
    <x v="0"/>
  </r>
  <r>
    <n v="6"/>
    <x v="12"/>
    <x v="0"/>
    <x v="27"/>
    <s v="Kansas"/>
    <x v="1"/>
    <x v="0"/>
    <x v="15"/>
    <x v="3"/>
  </r>
  <r>
    <n v="7"/>
    <x v="13"/>
    <x v="0"/>
    <x v="28"/>
    <s v="Florida"/>
    <x v="2"/>
    <x v="0"/>
    <x v="21"/>
    <x v="1"/>
  </r>
  <r>
    <n v="10"/>
    <x v="13"/>
    <x v="0"/>
    <x v="29"/>
    <s v="Pennsylvania"/>
    <x v="3"/>
    <x v="0"/>
    <x v="3"/>
    <x v="1"/>
  </r>
  <r>
    <n v="6"/>
    <x v="14"/>
    <x v="2"/>
    <x v="30"/>
    <s v="Texas"/>
    <x v="0"/>
    <x v="1"/>
    <x v="10"/>
    <x v="3"/>
  </r>
  <r>
    <n v="5"/>
    <x v="14"/>
    <x v="1"/>
    <x v="31"/>
    <s v="Minnesota"/>
    <x v="1"/>
    <x v="1"/>
    <x v="22"/>
    <x v="0"/>
  </r>
  <r>
    <n v="3"/>
    <x v="15"/>
    <x v="2"/>
    <x v="23"/>
    <s v="Minnesota"/>
    <x v="0"/>
    <x v="0"/>
    <x v="10"/>
    <x v="0"/>
  </r>
  <r>
    <n v="3"/>
    <x v="15"/>
    <x v="0"/>
    <x v="32"/>
    <s v="Texas"/>
    <x v="1"/>
    <x v="0"/>
    <x v="16"/>
    <x v="3"/>
  </r>
  <r>
    <n v="3"/>
    <x v="16"/>
    <x v="0"/>
    <x v="33"/>
    <s v="Utah"/>
    <x v="3"/>
    <x v="1"/>
    <x v="0"/>
    <x v="1"/>
  </r>
  <r>
    <n v="6"/>
    <x v="16"/>
    <x v="0"/>
    <x v="9"/>
    <s v="California"/>
    <x v="3"/>
    <x v="0"/>
    <x v="23"/>
    <x v="1"/>
  </r>
  <r>
    <n v="9"/>
    <x v="17"/>
    <x v="0"/>
    <x v="34"/>
    <s v="California"/>
    <x v="1"/>
    <x v="0"/>
    <x v="23"/>
    <x v="1"/>
  </r>
  <r>
    <n v="6"/>
    <x v="17"/>
    <x v="0"/>
    <x v="35"/>
    <s v="Alabama"/>
    <x v="3"/>
    <x v="0"/>
    <x v="2"/>
    <x v="3"/>
  </r>
  <r>
    <n v="7"/>
    <x v="18"/>
    <x v="0"/>
    <x v="36"/>
    <s v="Rhode Island"/>
    <x v="2"/>
    <x v="1"/>
    <x v="17"/>
    <x v="1"/>
  </r>
  <r>
    <n v="4"/>
    <x v="18"/>
    <x v="1"/>
    <x v="37"/>
    <s v="Virginia"/>
    <x v="1"/>
    <x v="0"/>
    <x v="24"/>
    <x v="3"/>
  </r>
  <r>
    <n v="7"/>
    <x v="19"/>
    <x v="1"/>
    <x v="38"/>
    <s v="Pennsylvania"/>
    <x v="1"/>
    <x v="0"/>
    <x v="4"/>
    <x v="1"/>
  </r>
  <r>
    <n v="4"/>
    <x v="19"/>
    <x v="1"/>
    <x v="16"/>
    <s v="District of Columbia"/>
    <x v="1"/>
    <x v="0"/>
    <x v="11"/>
    <x v="1"/>
  </r>
  <r>
    <n v="2"/>
    <x v="20"/>
    <x v="0"/>
    <x v="39"/>
    <s v="New York"/>
    <x v="0"/>
    <x v="2"/>
    <x v="20"/>
    <x v="0"/>
  </r>
  <r>
    <n v="3"/>
    <x v="20"/>
    <x v="1"/>
    <x v="40"/>
    <s v="Nevada"/>
    <x v="1"/>
    <x v="2"/>
    <x v="21"/>
    <x v="3"/>
  </r>
  <r>
    <n v="4"/>
    <x v="21"/>
    <x v="0"/>
    <x v="3"/>
    <s v="Florida"/>
    <x v="3"/>
    <x v="0"/>
    <x v="16"/>
    <x v="3"/>
  </r>
  <r>
    <n v="2"/>
    <x v="21"/>
    <x v="2"/>
    <x v="41"/>
    <s v="California"/>
    <x v="0"/>
    <x v="0"/>
    <x v="20"/>
    <x v="1"/>
  </r>
  <r>
    <n v="9"/>
    <x v="22"/>
    <x v="0"/>
    <x v="42"/>
    <s v="California"/>
    <x v="0"/>
    <x v="0"/>
    <x v="16"/>
    <x v="3"/>
  </r>
  <r>
    <n v="6"/>
    <x v="22"/>
    <x v="0"/>
    <x v="43"/>
    <s v="Illinois"/>
    <x v="0"/>
    <x v="0"/>
    <x v="25"/>
    <x v="3"/>
  </r>
  <r>
    <n v="8"/>
    <x v="23"/>
    <x v="2"/>
    <x v="44"/>
    <s v="Indiana"/>
    <x v="0"/>
    <x v="0"/>
    <x v="7"/>
    <x v="1"/>
  </r>
  <r>
    <n v="8"/>
    <x v="23"/>
    <x v="2"/>
    <x v="45"/>
    <s v="Missouri"/>
    <x v="0"/>
    <x v="0"/>
    <x v="18"/>
    <x v="3"/>
  </r>
  <r>
    <n v="4"/>
    <x v="23"/>
    <x v="1"/>
    <x v="46"/>
    <s v="California"/>
    <x v="1"/>
    <x v="0"/>
    <x v="11"/>
    <x v="3"/>
  </r>
  <r>
    <n v="4"/>
    <x v="23"/>
    <x v="2"/>
    <x v="19"/>
    <s v="Florida"/>
    <x v="0"/>
    <x v="2"/>
    <x v="26"/>
    <x v="3"/>
  </r>
  <r>
    <n v="7"/>
    <x v="24"/>
    <x v="0"/>
    <x v="47"/>
    <s v="Louisiana"/>
    <x v="1"/>
    <x v="0"/>
    <x v="12"/>
    <x v="3"/>
  </r>
  <r>
    <n v="3"/>
    <x v="24"/>
    <x v="0"/>
    <x v="48"/>
    <s v="Illinois"/>
    <x v="0"/>
    <x v="2"/>
    <x v="8"/>
    <x v="3"/>
  </r>
  <r>
    <n v="1"/>
    <x v="25"/>
    <x v="0"/>
    <x v="33"/>
    <s v="Utah"/>
    <x v="0"/>
    <x v="0"/>
    <x v="19"/>
    <x v="3"/>
  </r>
  <r>
    <n v="6"/>
    <x v="25"/>
    <x v="0"/>
    <x v="23"/>
    <s v="Minnesota"/>
    <x v="1"/>
    <x v="0"/>
    <x v="27"/>
    <x v="1"/>
  </r>
  <r>
    <n v="4"/>
    <x v="26"/>
    <x v="0"/>
    <x v="49"/>
    <s v="Indiana"/>
    <x v="2"/>
    <x v="0"/>
    <x v="28"/>
    <x v="1"/>
  </r>
  <r>
    <n v="7"/>
    <x v="26"/>
    <x v="0"/>
    <x v="50"/>
    <s v="Illinois"/>
    <x v="1"/>
    <x v="0"/>
    <x v="29"/>
    <x v="1"/>
  </r>
  <r>
    <n v="9"/>
    <x v="27"/>
    <x v="0"/>
    <x v="51"/>
    <s v="Pennsylvania"/>
    <x v="3"/>
    <x v="0"/>
    <x v="0"/>
    <x v="3"/>
  </r>
  <r>
    <n v="5"/>
    <x v="27"/>
    <x v="0"/>
    <x v="52"/>
    <s v="Nevada"/>
    <x v="3"/>
    <x v="0"/>
    <x v="14"/>
    <x v="2"/>
  </r>
  <r>
    <n v="1"/>
    <x v="28"/>
    <x v="1"/>
    <x v="53"/>
    <s v="Illinois"/>
    <x v="1"/>
    <x v="0"/>
    <x v="30"/>
    <x v="2"/>
  </r>
  <r>
    <n v="3"/>
    <x v="28"/>
    <x v="0"/>
    <x v="54"/>
    <s v="Texas"/>
    <x v="0"/>
    <x v="2"/>
    <x v="31"/>
    <x v="3"/>
  </r>
  <r>
    <n v="5"/>
    <x v="28"/>
    <x v="0"/>
    <x v="6"/>
    <s v="Arkansas"/>
    <x v="2"/>
    <x v="0"/>
    <x v="12"/>
    <x v="2"/>
  </r>
  <r>
    <n v="8"/>
    <x v="28"/>
    <x v="0"/>
    <x v="55"/>
    <s v="California"/>
    <x v="2"/>
    <x v="1"/>
    <x v="10"/>
    <x v="1"/>
  </r>
  <r>
    <n v="9"/>
    <x v="28"/>
    <x v="1"/>
    <x v="20"/>
    <s v="Texas"/>
    <x v="1"/>
    <x v="0"/>
    <x v="32"/>
    <x v="1"/>
  </r>
  <r>
    <n v="8"/>
    <x v="29"/>
    <x v="1"/>
    <x v="43"/>
    <s v="Illinois"/>
    <x v="1"/>
    <x v="0"/>
    <x v="12"/>
    <x v="3"/>
  </r>
  <r>
    <n v="3"/>
    <x v="29"/>
    <x v="0"/>
    <x v="56"/>
    <s v="Ohio"/>
    <x v="3"/>
    <x v="0"/>
    <x v="33"/>
    <x v="3"/>
  </r>
  <r>
    <n v="3"/>
    <x v="30"/>
    <x v="0"/>
    <x v="56"/>
    <s v="Georgia"/>
    <x v="3"/>
    <x v="0"/>
    <x v="28"/>
    <x v="1"/>
  </r>
  <r>
    <n v="5"/>
    <x v="30"/>
    <x v="2"/>
    <x v="17"/>
    <s v="New York"/>
    <x v="0"/>
    <x v="1"/>
    <x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">
  <r>
    <s v="PIS-39858047"/>
    <s v="Frances Gullefant"/>
    <x v="0"/>
    <x v="0"/>
    <x v="0"/>
    <x v="0"/>
    <s v="Charleston"/>
    <s v="West Virginia"/>
    <x v="0"/>
    <x v="0"/>
    <n v="14"/>
    <x v="0"/>
  </r>
  <r>
    <s v="ROH-40287216"/>
    <s v="Harcourt Zoanetti"/>
    <x v="1"/>
    <x v="1"/>
    <x v="0"/>
    <x v="0"/>
    <s v="Honolulu"/>
    <s v="Hawaii"/>
    <x v="1"/>
    <x v="0"/>
    <n v="32"/>
    <x v="1"/>
  </r>
  <r>
    <s v="NKC-39578431"/>
    <s v="Washington Oxteby"/>
    <x v="1"/>
    <x v="2"/>
    <x v="1"/>
    <x v="0"/>
    <s v="Dallas"/>
    <s v="Texas"/>
    <x v="0"/>
    <x v="0"/>
    <n v="6"/>
    <x v="2"/>
  </r>
  <r>
    <s v="APY-17008648"/>
    <s v="Rafe Duffitt"/>
    <x v="2"/>
    <x v="3"/>
    <x v="1"/>
    <x v="0"/>
    <s v="Fort Myers"/>
    <s v="Florida"/>
    <x v="2"/>
    <x v="1"/>
    <n v="26"/>
    <x v="1"/>
  </r>
  <r>
    <s v="MHK-38443501"/>
    <s v="Tris Bent"/>
    <x v="3"/>
    <x v="0"/>
    <x v="1"/>
    <x v="0"/>
    <s v="Tuscaloosa"/>
    <s v="Alabama"/>
    <x v="3"/>
    <x v="0"/>
    <n v="26"/>
    <x v="1"/>
  </r>
  <r>
    <s v="QKL-49133006"/>
    <s v="Kassie Elman"/>
    <x v="2"/>
    <x v="3"/>
    <x v="2"/>
    <x v="0"/>
    <s v="Charleston"/>
    <s v="South Carolina"/>
    <x v="3"/>
    <x v="0"/>
    <n v="6"/>
    <x v="3"/>
  </r>
  <r>
    <s v="ZPZ-31710059"/>
    <s v="Elbertina Hewins"/>
    <x v="4"/>
    <x v="4"/>
    <x v="2"/>
    <x v="1"/>
    <s v="Pensacola"/>
    <s v="Florida"/>
    <x v="1"/>
    <x v="0"/>
    <n v="9"/>
    <x v="1"/>
  </r>
  <r>
    <s v="IJF-13083880"/>
    <s v="Garland Chuney"/>
    <x v="1"/>
    <x v="2"/>
    <x v="3"/>
    <x v="0"/>
    <s v="Little Rock"/>
    <s v="Arkansas"/>
    <x v="1"/>
    <x v="0"/>
    <n v="15"/>
    <x v="3"/>
  </r>
  <r>
    <s v="ZKW-68562847"/>
    <s v="Caroljean Bischop"/>
    <x v="1"/>
    <x v="2"/>
    <x v="3"/>
    <x v="0"/>
    <s v="Nashville"/>
    <s v="Tennessee"/>
    <x v="3"/>
    <x v="0"/>
    <n v="12"/>
    <x v="1"/>
  </r>
  <r>
    <s v="NIL-47926257"/>
    <s v="Delmor McKleod"/>
    <x v="1"/>
    <x v="5"/>
    <x v="4"/>
    <x v="0"/>
    <s v="El Paso"/>
    <s v="Texas"/>
    <x v="3"/>
    <x v="0"/>
    <n v="42"/>
    <x v="1"/>
  </r>
  <r>
    <s v="BPQ-80812775"/>
    <s v="Julee O'Gavin"/>
    <x v="1"/>
    <x v="2"/>
    <x v="4"/>
    <x v="0"/>
    <s v="Santa Ana"/>
    <s v="California"/>
    <x v="0"/>
    <x v="2"/>
    <n v="44"/>
    <x v="3"/>
  </r>
  <r>
    <s v="ZOK-34480332"/>
    <s v="Jaye Gribbon"/>
    <x v="0"/>
    <x v="6"/>
    <x v="5"/>
    <x v="0"/>
    <s v="Huntington"/>
    <s v="West Virginia"/>
    <x v="0"/>
    <x v="0"/>
    <n v="29"/>
    <x v="3"/>
  </r>
  <r>
    <s v="ZMB-79323804"/>
    <s v="Brodie Dobrowski"/>
    <x v="1"/>
    <x v="1"/>
    <x v="5"/>
    <x v="0"/>
    <s v="Pittsburgh"/>
    <s v="Pennsylvania"/>
    <x v="0"/>
    <x v="0"/>
    <n v="35"/>
    <x v="3"/>
  </r>
  <r>
    <s v="YYO-56445305"/>
    <s v="Sibylla Kemet"/>
    <x v="2"/>
    <x v="7"/>
    <x v="6"/>
    <x v="0"/>
    <s v="Tucson"/>
    <s v="Arizona"/>
    <x v="3"/>
    <x v="0"/>
    <n v="30"/>
    <x v="1"/>
  </r>
  <r>
    <s v="JYD-67455825"/>
    <s v="Quintilla Hourston"/>
    <x v="1"/>
    <x v="5"/>
    <x v="6"/>
    <x v="1"/>
    <s v="Des Moines"/>
    <s v="Iowa"/>
    <x v="1"/>
    <x v="0"/>
    <n v="29"/>
    <x v="1"/>
  </r>
  <r>
    <s v="KNO-93249512"/>
    <s v="Maggi Simpson"/>
    <x v="3"/>
    <x v="8"/>
    <x v="7"/>
    <x v="1"/>
    <s v="San Francisco"/>
    <s v="California"/>
    <x v="1"/>
    <x v="0"/>
    <n v="9"/>
    <x v="3"/>
  </r>
  <r>
    <s v="VFG-63863025"/>
    <s v="Early Andrassy"/>
    <x v="4"/>
    <x v="8"/>
    <x v="7"/>
    <x v="0"/>
    <s v="Lansing"/>
    <s v="Michigan"/>
    <x v="0"/>
    <x v="0"/>
    <n v="8"/>
    <x v="1"/>
  </r>
  <r>
    <s v="UCT-41608771"/>
    <s v="Ettie Ruoff"/>
    <x v="2"/>
    <x v="2"/>
    <x v="7"/>
    <x v="0"/>
    <s v="Washington"/>
    <s v="District of Columbia"/>
    <x v="0"/>
    <x v="2"/>
    <n v="35"/>
    <x v="0"/>
  </r>
  <r>
    <s v="YLF-83918836"/>
    <s v="Bogey McReath"/>
    <x v="3"/>
    <x v="6"/>
    <x v="7"/>
    <x v="0"/>
    <s v="New York City"/>
    <s v="New York"/>
    <x v="3"/>
    <x v="0"/>
    <n v="20"/>
    <x v="3"/>
  </r>
  <r>
    <s v="QCH-83950486"/>
    <s v="Sephira Philippart"/>
    <x v="1"/>
    <x v="2"/>
    <x v="8"/>
    <x v="0"/>
    <s v="Madison"/>
    <s v="Wisconsin"/>
    <x v="3"/>
    <x v="0"/>
    <n v="31"/>
    <x v="1"/>
  </r>
  <r>
    <s v="PDB-14404239"/>
    <s v="Charles Sandison"/>
    <x v="0"/>
    <x v="1"/>
    <x v="8"/>
    <x v="0"/>
    <s v="Fort Pierce"/>
    <s v="Florida"/>
    <x v="2"/>
    <x v="1"/>
    <n v="39"/>
    <x v="1"/>
  </r>
  <r>
    <s v="LFZ-17229282"/>
    <s v="Zora Keelin"/>
    <x v="1"/>
    <x v="2"/>
    <x v="9"/>
    <x v="0"/>
    <s v="Lubbock"/>
    <s v="Texas"/>
    <x v="1"/>
    <x v="0"/>
    <n v="38"/>
    <x v="2"/>
  </r>
  <r>
    <s v="VKV-67119644"/>
    <s v="Lillis Dewhurst"/>
    <x v="1"/>
    <x v="3"/>
    <x v="9"/>
    <x v="0"/>
    <s v="Stockton"/>
    <s v="California"/>
    <x v="1"/>
    <x v="2"/>
    <n v="44"/>
    <x v="2"/>
  </r>
  <r>
    <s v="PBY-32667898"/>
    <s v="Luz Gudgeon"/>
    <x v="2"/>
    <x v="3"/>
    <x v="10"/>
    <x v="2"/>
    <s v="Corpus Christi"/>
    <s v="Texas"/>
    <x v="0"/>
    <x v="0"/>
    <n v="41"/>
    <x v="0"/>
  </r>
  <r>
    <s v="EWI-18960031"/>
    <s v="Abigale Morgan"/>
    <x v="2"/>
    <x v="3"/>
    <x v="10"/>
    <x v="0"/>
    <s v="Minneapolis"/>
    <s v="Minnesota"/>
    <x v="0"/>
    <x v="0"/>
    <n v="7"/>
    <x v="3"/>
  </r>
  <r>
    <s v="IYX-48770048"/>
    <s v="Minette Muzzillo"/>
    <x v="2"/>
    <x v="3"/>
    <x v="11"/>
    <x v="0"/>
    <s v="Colorado Springs"/>
    <s v="Colorado"/>
    <x v="2"/>
    <x v="0"/>
    <n v="34"/>
    <x v="1"/>
  </r>
  <r>
    <s v="EVO-87671386"/>
    <s v="Nanon FitzGilbert"/>
    <x v="4"/>
    <x v="4"/>
    <x v="11"/>
    <x v="0"/>
    <s v="Abilene"/>
    <s v="Texas"/>
    <x v="3"/>
    <x v="1"/>
    <n v="36"/>
    <x v="1"/>
  </r>
  <r>
    <s v="ZYX-10467563"/>
    <s v="Ginelle Olver"/>
    <x v="0"/>
    <x v="0"/>
    <x v="12"/>
    <x v="0"/>
    <s v="Fort Lauderdale"/>
    <s v="Florida"/>
    <x v="1"/>
    <x v="0"/>
    <n v="9"/>
    <x v="0"/>
  </r>
  <r>
    <s v="DZU-03236134"/>
    <s v="Tricia Kinnie"/>
    <x v="1"/>
    <x v="5"/>
    <x v="12"/>
    <x v="0"/>
    <s v="Shawnee Mission"/>
    <s v="Kansas"/>
    <x v="1"/>
    <x v="0"/>
    <n v="39"/>
    <x v="3"/>
  </r>
  <r>
    <s v="CAZ-10660311"/>
    <s v="Kristoforo Burnell"/>
    <x v="3"/>
    <x v="6"/>
    <x v="13"/>
    <x v="0"/>
    <s v="Gainesville"/>
    <s v="Florida"/>
    <x v="2"/>
    <x v="0"/>
    <n v="17"/>
    <x v="1"/>
  </r>
  <r>
    <s v="ESF-57588548"/>
    <s v="Dulsea Pendry"/>
    <x v="4"/>
    <x v="4"/>
    <x v="13"/>
    <x v="0"/>
    <s v="Erie"/>
    <s v="Pennsylvania"/>
    <x v="3"/>
    <x v="0"/>
    <n v="26"/>
    <x v="1"/>
  </r>
  <r>
    <s v="WKS-55916097"/>
    <s v="Alberik Jacques"/>
    <x v="0"/>
    <x v="5"/>
    <x v="14"/>
    <x v="2"/>
    <s v="Houston"/>
    <s v="Texas"/>
    <x v="0"/>
    <x v="1"/>
    <n v="35"/>
    <x v="3"/>
  </r>
  <r>
    <s v="OHX-59443580"/>
    <s v="Banky Falla"/>
    <x v="1"/>
    <x v="1"/>
    <x v="14"/>
    <x v="1"/>
    <s v="Saint Paul"/>
    <s v="Minnesota"/>
    <x v="1"/>
    <x v="1"/>
    <n v="25"/>
    <x v="0"/>
  </r>
  <r>
    <s v="TLA-11600824"/>
    <s v="Ganny Crampsy"/>
    <x v="1"/>
    <x v="2"/>
    <x v="15"/>
    <x v="2"/>
    <s v="Minneapolis"/>
    <s v="Minnesota"/>
    <x v="0"/>
    <x v="0"/>
    <n v="35"/>
    <x v="0"/>
  </r>
  <r>
    <s v="YPB-82095843"/>
    <s v="Shari Adrienne"/>
    <x v="1"/>
    <x v="2"/>
    <x v="15"/>
    <x v="0"/>
    <s v="Fort Worth"/>
    <s v="Texas"/>
    <x v="1"/>
    <x v="0"/>
    <n v="38"/>
    <x v="3"/>
  </r>
  <r>
    <s v="LZU-62237096"/>
    <s v="Charo Aisbett"/>
    <x v="1"/>
    <x v="2"/>
    <x v="16"/>
    <x v="0"/>
    <s v="Salt Lake City"/>
    <s v="Utah"/>
    <x v="3"/>
    <x v="1"/>
    <n v="14"/>
    <x v="1"/>
  </r>
  <r>
    <s v="XCX-53374693"/>
    <s v="Francyne Hagergham"/>
    <x v="1"/>
    <x v="5"/>
    <x v="16"/>
    <x v="0"/>
    <s v="Santa Ana"/>
    <s v="California"/>
    <x v="3"/>
    <x v="0"/>
    <n v="43"/>
    <x v="1"/>
  </r>
  <r>
    <s v="PJL-11752230"/>
    <s v="Lindsay Bubb"/>
    <x v="4"/>
    <x v="8"/>
    <x v="17"/>
    <x v="0"/>
    <s v="South Lake Tahoe"/>
    <s v="California"/>
    <x v="1"/>
    <x v="0"/>
    <n v="43"/>
    <x v="1"/>
  </r>
  <r>
    <s v="MFC-52269149"/>
    <s v="Roobbie Pickervance"/>
    <x v="0"/>
    <x v="5"/>
    <x v="17"/>
    <x v="0"/>
    <s v="Montgomery"/>
    <s v="Alabama"/>
    <x v="3"/>
    <x v="0"/>
    <n v="6"/>
    <x v="3"/>
  </r>
  <r>
    <s v="TQC-88855863"/>
    <s v="Erminia Lummasana"/>
    <x v="3"/>
    <x v="6"/>
    <x v="18"/>
    <x v="0"/>
    <s v="Providence"/>
    <s v="Rhode Island"/>
    <x v="2"/>
    <x v="1"/>
    <n v="41"/>
    <x v="1"/>
  </r>
  <r>
    <s v="FGR-90006976"/>
    <s v="Ariel Pittendreigh"/>
    <x v="1"/>
    <x v="3"/>
    <x v="18"/>
    <x v="1"/>
    <s v="Richmond"/>
    <s v="Virginia"/>
    <x v="1"/>
    <x v="0"/>
    <n v="27"/>
    <x v="3"/>
  </r>
  <r>
    <s v="PAT-23706620"/>
    <s v="Rudie Tomsen"/>
    <x v="3"/>
    <x v="6"/>
    <x v="19"/>
    <x v="1"/>
    <s v="Johnstown"/>
    <s v="Pennsylvania"/>
    <x v="1"/>
    <x v="0"/>
    <n v="9"/>
    <x v="1"/>
  </r>
  <r>
    <s v="XRX-56871498"/>
    <s v="Alric Scrane"/>
    <x v="2"/>
    <x v="3"/>
    <x v="19"/>
    <x v="1"/>
    <s v="Washington"/>
    <s v="District of Columbia"/>
    <x v="1"/>
    <x v="0"/>
    <n v="30"/>
    <x v="1"/>
  </r>
  <r>
    <s v="BYM-24034403"/>
    <s v="Eyde Djurevic"/>
    <x v="2"/>
    <x v="7"/>
    <x v="20"/>
    <x v="0"/>
    <s v="Bronx"/>
    <s v="New York"/>
    <x v="0"/>
    <x v="2"/>
    <n v="36"/>
    <x v="0"/>
  </r>
  <r>
    <s v="TNK-37391425"/>
    <s v="Hubey Wartonby"/>
    <x v="1"/>
    <x v="2"/>
    <x v="20"/>
    <x v="1"/>
    <s v="Las Vegas"/>
    <s v="Nevada"/>
    <x v="1"/>
    <x v="2"/>
    <n v="17"/>
    <x v="3"/>
  </r>
  <r>
    <s v="JJM-32557838"/>
    <s v="Cirstoforo Jemmett"/>
    <x v="2"/>
    <x v="3"/>
    <x v="21"/>
    <x v="0"/>
    <s v="Fort Myers"/>
    <s v="Florida"/>
    <x v="3"/>
    <x v="0"/>
    <n v="38"/>
    <x v="3"/>
  </r>
  <r>
    <s v="KWC-18652469"/>
    <s v="Elijah Goalby"/>
    <x v="2"/>
    <x v="7"/>
    <x v="21"/>
    <x v="2"/>
    <s v="Pasadena"/>
    <s v="California"/>
    <x v="0"/>
    <x v="0"/>
    <n v="36"/>
    <x v="1"/>
  </r>
  <r>
    <s v="GCS-45015293"/>
    <s v="Thaddus Seeley"/>
    <x v="3"/>
    <x v="8"/>
    <x v="22"/>
    <x v="0"/>
    <s v="Sacramento"/>
    <s v="California"/>
    <x v="0"/>
    <x v="0"/>
    <n v="38"/>
    <x v="3"/>
  </r>
  <r>
    <s v="IZX-08099835"/>
    <s v="Brody Rebichon"/>
    <x v="1"/>
    <x v="5"/>
    <x v="22"/>
    <x v="0"/>
    <s v="Chicago"/>
    <s v="Illinois"/>
    <x v="0"/>
    <x v="0"/>
    <n v="13"/>
    <x v="3"/>
  </r>
  <r>
    <s v="TPZ-92635583"/>
    <s v="Eartha Boner"/>
    <x v="3"/>
    <x v="0"/>
    <x v="23"/>
    <x v="2"/>
    <s v="Fort Wayne"/>
    <s v="Indiana"/>
    <x v="0"/>
    <x v="0"/>
    <n v="42"/>
    <x v="1"/>
  </r>
  <r>
    <s v="JOT-87331404"/>
    <s v="Loralee Shivell"/>
    <x v="0"/>
    <x v="0"/>
    <x v="23"/>
    <x v="2"/>
    <s v="Kansas City"/>
    <s v="Missouri"/>
    <x v="0"/>
    <x v="0"/>
    <n v="7"/>
    <x v="3"/>
  </r>
  <r>
    <s v="OKK-04567923"/>
    <s v="Zacherie Tigner"/>
    <x v="2"/>
    <x v="3"/>
    <x v="23"/>
    <x v="1"/>
    <s v="Long Beach"/>
    <s v="California"/>
    <x v="1"/>
    <x v="0"/>
    <n v="30"/>
    <x v="3"/>
  </r>
  <r>
    <s v="TCX-30032546"/>
    <s v="Madelena Pinnock"/>
    <x v="1"/>
    <x v="3"/>
    <x v="23"/>
    <x v="2"/>
    <s v="Fort Pierce"/>
    <s v="Florida"/>
    <x v="0"/>
    <x v="2"/>
    <n v="22"/>
    <x v="3"/>
  </r>
  <r>
    <s v="HMX-04214019"/>
    <s v="Mira Beddows"/>
    <x v="3"/>
    <x v="6"/>
    <x v="24"/>
    <x v="0"/>
    <s v="Baton Rouge"/>
    <s v="Louisiana"/>
    <x v="1"/>
    <x v="0"/>
    <n v="8"/>
    <x v="3"/>
  </r>
  <r>
    <s v="SYU-34524338"/>
    <s v="Giralda Gebby"/>
    <x v="2"/>
    <x v="2"/>
    <x v="24"/>
    <x v="0"/>
    <s v="Naperville"/>
    <s v="Illinois"/>
    <x v="0"/>
    <x v="2"/>
    <n v="44"/>
    <x v="3"/>
  </r>
  <r>
    <s v="GBF-72465641"/>
    <s v="Shelagh Washington"/>
    <x v="2"/>
    <x v="9"/>
    <x v="25"/>
    <x v="0"/>
    <s v="Salt Lake City"/>
    <s v="Utah"/>
    <x v="0"/>
    <x v="0"/>
    <n v="34"/>
    <x v="3"/>
  </r>
  <r>
    <s v="FMF-68865737"/>
    <s v="Janeczka Caze"/>
    <x v="1"/>
    <x v="5"/>
    <x v="25"/>
    <x v="0"/>
    <s v="Minneapolis"/>
    <s v="Minnesota"/>
    <x v="1"/>
    <x v="0"/>
    <n v="18"/>
    <x v="1"/>
  </r>
  <r>
    <s v="WMA-45712668"/>
    <s v="Angie Francklin"/>
    <x v="1"/>
    <x v="3"/>
    <x v="26"/>
    <x v="0"/>
    <s v="Evansville"/>
    <s v="Indiana"/>
    <x v="2"/>
    <x v="0"/>
    <n v="23"/>
    <x v="1"/>
  </r>
  <r>
    <s v="VEC-69408692"/>
    <s v="Anna-maria McPeice"/>
    <x v="0"/>
    <x v="6"/>
    <x v="26"/>
    <x v="0"/>
    <s v="Rockford"/>
    <s v="Illinois"/>
    <x v="1"/>
    <x v="0"/>
    <n v="37"/>
    <x v="1"/>
  </r>
  <r>
    <s v="MBN-58485152"/>
    <s v="Jude Traise"/>
    <x v="4"/>
    <x v="8"/>
    <x v="27"/>
    <x v="0"/>
    <s v="Harrisburg"/>
    <s v="Pennsylvania"/>
    <x v="3"/>
    <x v="0"/>
    <n v="14"/>
    <x v="3"/>
  </r>
  <r>
    <s v="VBY-78584211"/>
    <s v="Evangeline Dillingham"/>
    <x v="1"/>
    <x v="1"/>
    <x v="27"/>
    <x v="0"/>
    <s v="Reno"/>
    <s v="Nevada"/>
    <x v="3"/>
    <x v="0"/>
    <n v="31"/>
    <x v="2"/>
  </r>
  <r>
    <s v="WSO-69134806"/>
    <s v="Patti Gocher"/>
    <x v="2"/>
    <x v="9"/>
    <x v="28"/>
    <x v="1"/>
    <s v="Bloomington"/>
    <s v="Illinois"/>
    <x v="1"/>
    <x v="0"/>
    <n v="10"/>
    <x v="2"/>
  </r>
  <r>
    <s v="MYP-30178430"/>
    <s v="Cora Buggs"/>
    <x v="1"/>
    <x v="2"/>
    <x v="28"/>
    <x v="0"/>
    <s v="Katy"/>
    <s v="Texas"/>
    <x v="0"/>
    <x v="2"/>
    <n v="45"/>
    <x v="3"/>
  </r>
  <r>
    <s v="FRU-31409409"/>
    <s v="Othella Kindle"/>
    <x v="1"/>
    <x v="1"/>
    <x v="28"/>
    <x v="0"/>
    <s v="Little Rock"/>
    <s v="Arkansas"/>
    <x v="2"/>
    <x v="0"/>
    <n v="8"/>
    <x v="2"/>
  </r>
  <r>
    <s v="VMZ-59696572"/>
    <s v="Sheppard Withull"/>
    <x v="3"/>
    <x v="0"/>
    <x v="28"/>
    <x v="0"/>
    <s v="Concord"/>
    <s v="California"/>
    <x v="2"/>
    <x v="1"/>
    <n v="35"/>
    <x v="1"/>
  </r>
  <r>
    <s v="JCE-87896568"/>
    <s v="Llewellyn Pablos"/>
    <x v="4"/>
    <x v="8"/>
    <x v="28"/>
    <x v="1"/>
    <s v="Lubbock"/>
    <s v="Texas"/>
    <x v="1"/>
    <x v="0"/>
    <n v="33"/>
    <x v="1"/>
  </r>
  <r>
    <s v="GZL-83273642"/>
    <s v="Lurleen Swadden"/>
    <x v="0"/>
    <x v="0"/>
    <x v="29"/>
    <x v="1"/>
    <s v="Chicago"/>
    <s v="Illinois"/>
    <x v="1"/>
    <x v="0"/>
    <n v="8"/>
    <x v="3"/>
  </r>
  <r>
    <s v="YHK-31842577"/>
    <s v="Ardith Bunting"/>
    <x v="1"/>
    <x v="2"/>
    <x v="29"/>
    <x v="0"/>
    <s v="Columbus"/>
    <s v="Ohio"/>
    <x v="3"/>
    <x v="0"/>
    <n v="19"/>
    <x v="3"/>
  </r>
  <r>
    <s v="BGA-81071725"/>
    <s v="Wylie Gramer"/>
    <x v="1"/>
    <x v="2"/>
    <x v="30"/>
    <x v="0"/>
    <s v="Columbus"/>
    <s v="Georgia"/>
    <x v="3"/>
    <x v="0"/>
    <n v="23"/>
    <x v="1"/>
  </r>
  <r>
    <s v="CRQ-64410572"/>
    <s v="Bat Pond"/>
    <x v="1"/>
    <x v="1"/>
    <x v="30"/>
    <x v="2"/>
    <s v="New York City"/>
    <s v="New York"/>
    <x v="0"/>
    <x v="1"/>
    <n v="3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A2:B7" firstHeaderRow="1" firstDataRow="1" firstDataCol="1"/>
  <pivotFields count="9">
    <pivotField dataField="1" showAll="0"/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8">
        <item x="25"/>
        <item x="47"/>
        <item x="53"/>
        <item x="39"/>
        <item x="0"/>
        <item x="43"/>
        <item x="24"/>
        <item x="56"/>
        <item x="55"/>
        <item x="22"/>
        <item x="2"/>
        <item x="13"/>
        <item x="8"/>
        <item x="29"/>
        <item x="49"/>
        <item x="26"/>
        <item x="3"/>
        <item x="19"/>
        <item x="44"/>
        <item x="32"/>
        <item x="28"/>
        <item x="51"/>
        <item x="1"/>
        <item x="30"/>
        <item x="10"/>
        <item x="38"/>
        <item x="45"/>
        <item x="54"/>
        <item x="15"/>
        <item x="40"/>
        <item x="6"/>
        <item x="46"/>
        <item x="20"/>
        <item x="18"/>
        <item x="23"/>
        <item x="35"/>
        <item x="48"/>
        <item x="7"/>
        <item x="17"/>
        <item x="41"/>
        <item x="5"/>
        <item x="11"/>
        <item x="36"/>
        <item x="52"/>
        <item x="37"/>
        <item x="50"/>
        <item x="42"/>
        <item x="31"/>
        <item x="33"/>
        <item x="14"/>
        <item x="9"/>
        <item x="27"/>
        <item x="34"/>
        <item x="21"/>
        <item x="12"/>
        <item x="4"/>
        <item x="16"/>
        <item t="default"/>
      </items>
    </pivotField>
    <pivotField showAll="0"/>
    <pivotField showAll="0">
      <items count="5">
        <item x="1"/>
        <item h="1" x="0"/>
        <item h="1" x="2"/>
        <item h="1" x="3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5">
        <item x="2"/>
        <item x="18"/>
        <item x="12"/>
        <item x="4"/>
        <item x="30"/>
        <item x="6"/>
        <item x="25"/>
        <item x="0"/>
        <item x="5"/>
        <item x="21"/>
        <item x="27"/>
        <item x="33"/>
        <item x="13"/>
        <item x="26"/>
        <item x="28"/>
        <item x="22"/>
        <item x="3"/>
        <item x="24"/>
        <item x="9"/>
        <item x="11"/>
        <item x="14"/>
        <item x="1"/>
        <item x="32"/>
        <item x="19"/>
        <item x="10"/>
        <item x="20"/>
        <item x="29"/>
        <item x="16"/>
        <item x="15"/>
        <item x="17"/>
        <item x="7"/>
        <item x="23"/>
        <item x="8"/>
        <item x="3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SAT Score" fld="0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7" cacheId="1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 chartFormat="27">
  <location ref="G3:M9" firstHeaderRow="1" firstDataRow="2" firstDataCol="1"/>
  <pivotFields count="12">
    <pivotField showAll="0"/>
    <pivotField showAll="0"/>
    <pivotField axis="axisCol" dataField="1" showAll="0">
      <items count="6">
        <item x="1"/>
        <item x="0"/>
        <item x="3"/>
        <item x="2"/>
        <item x="4"/>
        <item t="default"/>
      </items>
    </pivotField>
    <pivotField showAll="0">
      <items count="11">
        <item x="9"/>
        <item x="7"/>
        <item x="2"/>
        <item x="3"/>
        <item x="1"/>
        <item x="5"/>
        <item x="6"/>
        <item x="0"/>
        <item x="8"/>
        <item x="4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entiment" fld="2" subtotal="count" baseField="11" baseItem="0"/>
  </dataFields>
  <chartFormats count="5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6" cacheId="1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 chartFormat="12">
  <location ref="D2:E34" firstHeaderRow="1" firstDataRow="1" firstDataCol="1"/>
  <pivotFields count="12"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>
      <items count="5">
        <item x="3"/>
        <item x="0"/>
        <item x="2"/>
        <item x="1"/>
        <item t="default"/>
      </items>
    </pivotField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Call Duration (Minutes)" fld="10" subtotal="count" baseField="4" baseItem="6"/>
  </dataFields>
  <formats count="2">
    <format dxfId="1">
      <pivotArea field="4" type="button" dataOnly="0" labelOnly="1" outline="0" fieldPosition="0"/>
    </format>
    <format dxfId="0">
      <pivotArea dataOnly="0" labelOnly="1" fieldPosition="0">
        <references count="1">
          <reference field="4" count="0"/>
        </references>
      </pivotArea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A21:B25" firstHeaderRow="1" firstDataRow="1" firstDataCol="1"/>
  <pivotFields count="12"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>
      <items count="5">
        <item x="3"/>
        <item x="0"/>
        <item x="2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all Duration (Minutes)" fld="10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 chartFormat="14">
  <location ref="A12:B17" firstHeaderRow="1" firstDataRow="1" firstDataCol="1"/>
  <pivotFields count="12"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dataField="1" showAll="0">
      <items count="11">
        <item x="9"/>
        <item x="7"/>
        <item x="2"/>
        <item x="3"/>
        <item x="1"/>
        <item x="5"/>
        <item x="6"/>
        <item x="0"/>
        <item x="8"/>
        <item x="4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5">
        <item x="3"/>
        <item x="0"/>
        <item x="2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SAT Score" fld="3" subtotal="average" baseField="8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annel1" sourceName="Channel">
  <pivotTables>
    <pivotTable tabId="6" name="PivotTable16"/>
    <pivotTable tabId="6" name="PivotTable14"/>
    <pivotTable tabId="6" name="PivotTable15"/>
    <pivotTable tabId="6" name="PivotTable17"/>
  </pivotTables>
  <data>
    <tabular pivotCacheId="1">
      <items count="4">
        <i x="1" s="1"/>
        <i x="0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ntiment" sourceName="Sentiment">
  <pivotTables>
    <pivotTable tabId="6" name="PivotTable16"/>
    <pivotTable tabId="6" name="PivotTable14"/>
    <pivotTable tabId="6" name="PivotTable15"/>
    <pivotTable tabId="6" name="PivotTable17"/>
  </pivotTables>
  <data>
    <tabular pivotCacheId="1">
      <items count="5">
        <i x="1" s="1"/>
        <i x="0" s="1"/>
        <i x="3" s="1"/>
        <i x="2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ll_Center1" sourceName="Call Center">
  <pivotTables>
    <pivotTable tabId="6" name="PivotTable16"/>
    <pivotTable tabId="6" name="PivotTable14"/>
    <pivotTable tabId="6" name="PivotTable15"/>
    <pivotTable tabId="6" name="PivotTable17"/>
  </pivotTables>
  <data>
    <tabular pivotCacheId="1">
      <items count="4">
        <i x="3" s="1"/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ll_Timestamp1" sourceName="Call Timestamp">
  <pivotTables>
    <pivotTable tabId="6" name="PivotTable16"/>
    <pivotTable tabId="6" name="PivotTable14"/>
    <pivotTable tabId="6" name="PivotTable15"/>
    <pivotTable tabId="6" name="PivotTable17"/>
  </pivotTables>
  <data>
    <tabular pivotCacheId="1">
      <items count="3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hannel 1" cache="Slicer_Channel1" caption="Channel" style="SlicerStyleOther1" rowHeight="457200"/>
  <slicer name="Sentiment" cache="Slicer_Sentiment" caption="Sentiment" style="SlicerStyleOther1" rowHeight="457200"/>
  <slicer name="Call Center 1" cache="Slicer_Call_Center1" caption="Call Center" style="SlicerStyleOther1" rowHeight="457200"/>
  <slicer name="Call Timestamp 1" cache="Slicer_Call_Timestamp1" caption="Call Timestamp" columnCount="2" style="SlicerStyleOther1" rowHeight="4572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76"/>
  <sheetViews>
    <sheetView showGridLines="0" topLeftCell="A6" zoomScale="85" zoomScaleNormal="85" workbookViewId="0">
      <selection activeCell="B6" sqref="B6:M76"/>
    </sheetView>
  </sheetViews>
  <sheetFormatPr defaultColWidth="8.875" defaultRowHeight="15"/>
  <cols>
    <col min="1" max="1" width="3.625" style="8" customWidth="1"/>
    <col min="2" max="2" width="15" style="8" customWidth="1"/>
    <col min="3" max="3" width="21" style="8" customWidth="1"/>
    <col min="4" max="4" width="13.625" style="8" customWidth="1"/>
    <col min="5" max="5" width="8.5" style="8" customWidth="1"/>
    <col min="6" max="6" width="14.625" style="8" customWidth="1"/>
    <col min="7" max="7" width="15.375" style="8" customWidth="1"/>
    <col min="8" max="8" width="17" style="8" customWidth="1"/>
    <col min="9" max="9" width="18.625" style="8" customWidth="1"/>
    <col min="10" max="10" width="11" style="8" customWidth="1"/>
    <col min="11" max="11" width="14.5" style="8" customWidth="1"/>
    <col min="12" max="12" width="13.875" style="8" customWidth="1"/>
    <col min="13" max="13" width="14.875" style="8" customWidth="1"/>
    <col min="14" max="14" width="10.5" style="8" customWidth="1"/>
    <col min="15" max="16384" width="8.875" style="8"/>
  </cols>
  <sheetData>
    <row r="2" spans="2:14" ht="18.75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2:14" ht="18.75">
      <c r="B4" s="10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6" spans="2:14" ht="33.75" customHeight="1">
      <c r="B6" s="11" t="s">
        <v>2</v>
      </c>
      <c r="C6" s="11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11" t="s">
        <v>9</v>
      </c>
      <c r="J6" s="11" t="s">
        <v>10</v>
      </c>
      <c r="K6" s="11" t="s">
        <v>11</v>
      </c>
      <c r="L6" s="11" t="s">
        <v>12</v>
      </c>
      <c r="M6" s="11" t="s">
        <v>13</v>
      </c>
    </row>
    <row r="7" spans="2:14">
      <c r="B7" s="12" t="s">
        <v>14</v>
      </c>
      <c r="C7" s="12" t="s">
        <v>15</v>
      </c>
      <c r="D7" s="12" t="s">
        <v>16</v>
      </c>
      <c r="E7" s="12">
        <v>8</v>
      </c>
      <c r="F7" s="13">
        <v>45292</v>
      </c>
      <c r="G7" s="12" t="s">
        <v>17</v>
      </c>
      <c r="H7" s="12" t="s">
        <v>18</v>
      </c>
      <c r="I7" s="12" t="s">
        <v>19</v>
      </c>
      <c r="J7" s="12" t="s">
        <v>20</v>
      </c>
      <c r="K7" s="12" t="s">
        <v>21</v>
      </c>
      <c r="L7" s="12">
        <v>14</v>
      </c>
      <c r="M7" s="12" t="s">
        <v>22</v>
      </c>
      <c r="N7" s="14"/>
    </row>
    <row r="8" spans="2:14">
      <c r="B8" s="12" t="s">
        <v>23</v>
      </c>
      <c r="C8" s="12" t="s">
        <v>24</v>
      </c>
      <c r="D8" s="12" t="s">
        <v>25</v>
      </c>
      <c r="E8" s="12">
        <v>5</v>
      </c>
      <c r="F8" s="13">
        <v>45292</v>
      </c>
      <c r="G8" s="12" t="s">
        <v>17</v>
      </c>
      <c r="H8" s="12" t="s">
        <v>26</v>
      </c>
      <c r="I8" s="12" t="s">
        <v>27</v>
      </c>
      <c r="J8" s="12" t="s">
        <v>28</v>
      </c>
      <c r="K8" s="12" t="s">
        <v>21</v>
      </c>
      <c r="L8" s="12">
        <v>32</v>
      </c>
      <c r="M8" s="12" t="s">
        <v>29</v>
      </c>
      <c r="N8" s="14"/>
    </row>
    <row r="9" spans="2:14">
      <c r="B9" s="12" t="s">
        <v>30</v>
      </c>
      <c r="C9" s="12" t="s">
        <v>31</v>
      </c>
      <c r="D9" s="12" t="s">
        <v>25</v>
      </c>
      <c r="E9" s="12">
        <v>3</v>
      </c>
      <c r="F9" s="13">
        <v>45293</v>
      </c>
      <c r="G9" s="12" t="s">
        <v>17</v>
      </c>
      <c r="H9" s="12" t="s">
        <v>32</v>
      </c>
      <c r="I9" s="12" t="s">
        <v>33</v>
      </c>
      <c r="J9" s="12" t="s">
        <v>20</v>
      </c>
      <c r="K9" s="12" t="s">
        <v>21</v>
      </c>
      <c r="L9" s="12">
        <v>6</v>
      </c>
      <c r="M9" s="12" t="s">
        <v>34</v>
      </c>
      <c r="N9" s="14"/>
    </row>
    <row r="10" spans="2:14">
      <c r="B10" s="12" t="s">
        <v>35</v>
      </c>
      <c r="C10" s="12" t="s">
        <v>36</v>
      </c>
      <c r="D10" s="12" t="s">
        <v>37</v>
      </c>
      <c r="E10" s="12">
        <v>4</v>
      </c>
      <c r="F10" s="13">
        <v>45293</v>
      </c>
      <c r="G10" s="12" t="s">
        <v>17</v>
      </c>
      <c r="H10" s="12" t="s">
        <v>38</v>
      </c>
      <c r="I10" s="12" t="s">
        <v>39</v>
      </c>
      <c r="J10" s="12" t="s">
        <v>40</v>
      </c>
      <c r="K10" s="12" t="s">
        <v>41</v>
      </c>
      <c r="L10" s="12">
        <v>26</v>
      </c>
      <c r="M10" s="12" t="s">
        <v>29</v>
      </c>
      <c r="N10" s="14"/>
    </row>
    <row r="11" spans="2:14">
      <c r="B11" s="12" t="s">
        <v>42</v>
      </c>
      <c r="C11" s="12" t="s">
        <v>43</v>
      </c>
      <c r="D11" s="12" t="s">
        <v>44</v>
      </c>
      <c r="E11" s="12">
        <v>8</v>
      </c>
      <c r="F11" s="13">
        <v>45293</v>
      </c>
      <c r="G11" s="12" t="s">
        <v>17</v>
      </c>
      <c r="H11" s="12" t="s">
        <v>45</v>
      </c>
      <c r="I11" s="12" t="s">
        <v>46</v>
      </c>
      <c r="J11" s="12" t="s">
        <v>47</v>
      </c>
      <c r="K11" s="12" t="s">
        <v>21</v>
      </c>
      <c r="L11" s="12">
        <v>26</v>
      </c>
      <c r="M11" s="12" t="s">
        <v>29</v>
      </c>
      <c r="N11" s="14"/>
    </row>
    <row r="12" spans="2:14">
      <c r="B12" s="12" t="s">
        <v>48</v>
      </c>
      <c r="C12" s="12" t="s">
        <v>49</v>
      </c>
      <c r="D12" s="12" t="s">
        <v>37</v>
      </c>
      <c r="E12" s="12">
        <v>4</v>
      </c>
      <c r="F12" s="13">
        <v>45294</v>
      </c>
      <c r="G12" s="12" t="s">
        <v>17</v>
      </c>
      <c r="H12" s="12" t="s">
        <v>18</v>
      </c>
      <c r="I12" s="12" t="s">
        <v>50</v>
      </c>
      <c r="J12" s="12" t="s">
        <v>47</v>
      </c>
      <c r="K12" s="12" t="s">
        <v>21</v>
      </c>
      <c r="L12" s="12">
        <v>6</v>
      </c>
      <c r="M12" s="12" t="s">
        <v>51</v>
      </c>
      <c r="N12" s="14"/>
    </row>
    <row r="13" spans="2:14">
      <c r="B13" s="12" t="s">
        <v>52</v>
      </c>
      <c r="C13" s="12" t="s">
        <v>53</v>
      </c>
      <c r="D13" s="12" t="s">
        <v>54</v>
      </c>
      <c r="E13" s="12">
        <v>10</v>
      </c>
      <c r="F13" s="13">
        <v>45294</v>
      </c>
      <c r="G13" s="12" t="s">
        <v>55</v>
      </c>
      <c r="H13" s="12" t="s">
        <v>56</v>
      </c>
      <c r="I13" s="12" t="s">
        <v>39</v>
      </c>
      <c r="J13" s="12" t="s">
        <v>28</v>
      </c>
      <c r="K13" s="12" t="s">
        <v>21</v>
      </c>
      <c r="L13" s="12">
        <v>9</v>
      </c>
      <c r="M13" s="12" t="s">
        <v>29</v>
      </c>
      <c r="N13" s="14"/>
    </row>
    <row r="14" spans="2:14">
      <c r="B14" s="12" t="s">
        <v>57</v>
      </c>
      <c r="C14" s="12" t="s">
        <v>58</v>
      </c>
      <c r="D14" s="12" t="s">
        <v>25</v>
      </c>
      <c r="E14" s="12">
        <v>3</v>
      </c>
      <c r="F14" s="13">
        <v>45295</v>
      </c>
      <c r="G14" s="12" t="s">
        <v>17</v>
      </c>
      <c r="H14" s="12" t="s">
        <v>59</v>
      </c>
      <c r="I14" s="12" t="s">
        <v>60</v>
      </c>
      <c r="J14" s="12" t="s">
        <v>28</v>
      </c>
      <c r="K14" s="12" t="s">
        <v>21</v>
      </c>
      <c r="L14" s="12">
        <v>15</v>
      </c>
      <c r="M14" s="12" t="s">
        <v>51</v>
      </c>
      <c r="N14" s="14"/>
    </row>
    <row r="15" spans="2:14">
      <c r="B15" s="12" t="s">
        <v>61</v>
      </c>
      <c r="C15" s="12" t="s">
        <v>62</v>
      </c>
      <c r="D15" s="12" t="s">
        <v>25</v>
      </c>
      <c r="E15" s="12">
        <v>3</v>
      </c>
      <c r="F15" s="13">
        <v>45295</v>
      </c>
      <c r="G15" s="12" t="s">
        <v>17</v>
      </c>
      <c r="H15" s="12" t="s">
        <v>63</v>
      </c>
      <c r="I15" s="12" t="s">
        <v>64</v>
      </c>
      <c r="J15" s="12" t="s">
        <v>47</v>
      </c>
      <c r="K15" s="12" t="s">
        <v>21</v>
      </c>
      <c r="L15" s="12">
        <v>12</v>
      </c>
      <c r="M15" s="12" t="s">
        <v>29</v>
      </c>
      <c r="N15" s="14"/>
    </row>
    <row r="16" spans="2:14">
      <c r="B16" s="12" t="s">
        <v>65</v>
      </c>
      <c r="C16" s="12" t="s">
        <v>66</v>
      </c>
      <c r="D16" s="12" t="s">
        <v>25</v>
      </c>
      <c r="E16" s="12">
        <v>6</v>
      </c>
      <c r="F16" s="13">
        <v>45296</v>
      </c>
      <c r="G16" s="12" t="s">
        <v>17</v>
      </c>
      <c r="H16" s="12" t="s">
        <v>67</v>
      </c>
      <c r="I16" s="12" t="s">
        <v>33</v>
      </c>
      <c r="J16" s="12" t="s">
        <v>47</v>
      </c>
      <c r="K16" s="12" t="s">
        <v>21</v>
      </c>
      <c r="L16" s="12">
        <v>42</v>
      </c>
      <c r="M16" s="12" t="s">
        <v>29</v>
      </c>
      <c r="N16" s="14"/>
    </row>
    <row r="17" spans="2:14">
      <c r="B17" s="12" t="s">
        <v>68</v>
      </c>
      <c r="C17" s="12" t="s">
        <v>69</v>
      </c>
      <c r="D17" s="12" t="s">
        <v>25</v>
      </c>
      <c r="E17" s="12">
        <v>3</v>
      </c>
      <c r="F17" s="13">
        <v>45296</v>
      </c>
      <c r="G17" s="12" t="s">
        <v>17</v>
      </c>
      <c r="H17" s="12" t="s">
        <v>70</v>
      </c>
      <c r="I17" s="12" t="s">
        <v>71</v>
      </c>
      <c r="J17" s="12" t="s">
        <v>20</v>
      </c>
      <c r="K17" s="12" t="s">
        <v>72</v>
      </c>
      <c r="L17" s="12">
        <v>44</v>
      </c>
      <c r="M17" s="12" t="s">
        <v>51</v>
      </c>
      <c r="N17" s="14"/>
    </row>
    <row r="18" spans="2:14">
      <c r="B18" s="12" t="s">
        <v>73</v>
      </c>
      <c r="C18" s="12" t="s">
        <v>74</v>
      </c>
      <c r="D18" s="12" t="s">
        <v>16</v>
      </c>
      <c r="E18" s="12">
        <v>7</v>
      </c>
      <c r="F18" s="13">
        <v>45297</v>
      </c>
      <c r="G18" s="12" t="s">
        <v>17</v>
      </c>
      <c r="H18" s="12" t="s">
        <v>75</v>
      </c>
      <c r="I18" s="12" t="s">
        <v>19</v>
      </c>
      <c r="J18" s="12" t="s">
        <v>20</v>
      </c>
      <c r="K18" s="12" t="s">
        <v>21</v>
      </c>
      <c r="L18" s="12">
        <v>29</v>
      </c>
      <c r="M18" s="12" t="s">
        <v>51</v>
      </c>
      <c r="N18" s="14"/>
    </row>
    <row r="19" spans="2:14">
      <c r="B19" s="12" t="s">
        <v>76</v>
      </c>
      <c r="C19" s="12" t="s">
        <v>77</v>
      </c>
      <c r="D19" s="12" t="s">
        <v>25</v>
      </c>
      <c r="E19" s="12">
        <v>5</v>
      </c>
      <c r="F19" s="13">
        <v>45297</v>
      </c>
      <c r="G19" s="12" t="s">
        <v>17</v>
      </c>
      <c r="H19" s="12" t="s">
        <v>78</v>
      </c>
      <c r="I19" s="12" t="s">
        <v>79</v>
      </c>
      <c r="J19" s="12" t="s">
        <v>20</v>
      </c>
      <c r="K19" s="12" t="s">
        <v>21</v>
      </c>
      <c r="L19" s="12">
        <v>35</v>
      </c>
      <c r="M19" s="12" t="s">
        <v>51</v>
      </c>
      <c r="N19" s="14"/>
    </row>
    <row r="20" spans="2:14">
      <c r="B20" s="12" t="s">
        <v>80</v>
      </c>
      <c r="C20" s="12" t="s">
        <v>81</v>
      </c>
      <c r="D20" s="12" t="s">
        <v>37</v>
      </c>
      <c r="E20" s="12">
        <v>2</v>
      </c>
      <c r="F20" s="13">
        <v>45298</v>
      </c>
      <c r="G20" s="12" t="s">
        <v>17</v>
      </c>
      <c r="H20" s="12" t="s">
        <v>82</v>
      </c>
      <c r="I20" s="12" t="s">
        <v>83</v>
      </c>
      <c r="J20" s="12" t="s">
        <v>47</v>
      </c>
      <c r="K20" s="12" t="s">
        <v>21</v>
      </c>
      <c r="L20" s="12">
        <v>30</v>
      </c>
      <c r="M20" s="12" t="s">
        <v>29</v>
      </c>
      <c r="N20" s="14"/>
    </row>
    <row r="21" spans="2:14">
      <c r="B21" s="12" t="s">
        <v>84</v>
      </c>
      <c r="C21" s="12" t="s">
        <v>85</v>
      </c>
      <c r="D21" s="12" t="s">
        <v>25</v>
      </c>
      <c r="E21" s="12">
        <v>6</v>
      </c>
      <c r="F21" s="13">
        <v>45298</v>
      </c>
      <c r="G21" s="12" t="s">
        <v>55</v>
      </c>
      <c r="H21" s="12" t="s">
        <v>86</v>
      </c>
      <c r="I21" s="12" t="s">
        <v>87</v>
      </c>
      <c r="J21" s="12" t="s">
        <v>28</v>
      </c>
      <c r="K21" s="12" t="s">
        <v>21</v>
      </c>
      <c r="L21" s="12">
        <v>29</v>
      </c>
      <c r="M21" s="12" t="s">
        <v>29</v>
      </c>
      <c r="N21" s="14"/>
    </row>
    <row r="22" spans="2:14">
      <c r="B22" s="12" t="s">
        <v>88</v>
      </c>
      <c r="C22" s="12" t="s">
        <v>89</v>
      </c>
      <c r="D22" s="12" t="s">
        <v>44</v>
      </c>
      <c r="E22" s="12">
        <v>9</v>
      </c>
      <c r="F22" s="13">
        <v>45299</v>
      </c>
      <c r="G22" s="12" t="s">
        <v>55</v>
      </c>
      <c r="H22" s="12" t="s">
        <v>90</v>
      </c>
      <c r="I22" s="12" t="s">
        <v>71</v>
      </c>
      <c r="J22" s="12" t="s">
        <v>28</v>
      </c>
      <c r="K22" s="12" t="s">
        <v>21</v>
      </c>
      <c r="L22" s="12">
        <v>9</v>
      </c>
      <c r="M22" s="12" t="s">
        <v>51</v>
      </c>
      <c r="N22" s="14"/>
    </row>
    <row r="23" spans="2:14">
      <c r="B23" s="12" t="s">
        <v>91</v>
      </c>
      <c r="C23" s="12" t="s">
        <v>92</v>
      </c>
      <c r="D23" s="12" t="s">
        <v>54</v>
      </c>
      <c r="E23" s="12">
        <v>9</v>
      </c>
      <c r="F23" s="13">
        <v>45299</v>
      </c>
      <c r="G23" s="12" t="s">
        <v>17</v>
      </c>
      <c r="H23" s="12" t="s">
        <v>93</v>
      </c>
      <c r="I23" s="12" t="s">
        <v>94</v>
      </c>
      <c r="J23" s="12" t="s">
        <v>20</v>
      </c>
      <c r="K23" s="12" t="s">
        <v>21</v>
      </c>
      <c r="L23" s="12">
        <v>8</v>
      </c>
      <c r="M23" s="12" t="s">
        <v>29</v>
      </c>
      <c r="N23" s="14"/>
    </row>
    <row r="24" spans="2:14">
      <c r="B24" s="12" t="s">
        <v>95</v>
      </c>
      <c r="C24" s="12" t="s">
        <v>96</v>
      </c>
      <c r="D24" s="12" t="s">
        <v>37</v>
      </c>
      <c r="E24" s="12">
        <v>3</v>
      </c>
      <c r="F24" s="13">
        <v>45299</v>
      </c>
      <c r="G24" s="12" t="s">
        <v>17</v>
      </c>
      <c r="H24" s="12" t="s">
        <v>97</v>
      </c>
      <c r="I24" s="12" t="s">
        <v>98</v>
      </c>
      <c r="J24" s="12" t="s">
        <v>20</v>
      </c>
      <c r="K24" s="12" t="s">
        <v>72</v>
      </c>
      <c r="L24" s="12">
        <v>35</v>
      </c>
      <c r="M24" s="12" t="s">
        <v>22</v>
      </c>
      <c r="N24" s="14"/>
    </row>
    <row r="25" spans="2:14">
      <c r="B25" s="12" t="s">
        <v>99</v>
      </c>
      <c r="C25" s="12" t="s">
        <v>100</v>
      </c>
      <c r="D25" s="12" t="s">
        <v>44</v>
      </c>
      <c r="E25" s="12">
        <v>7</v>
      </c>
      <c r="F25" s="13">
        <v>45299</v>
      </c>
      <c r="G25" s="12" t="s">
        <v>17</v>
      </c>
      <c r="H25" s="12" t="s">
        <v>101</v>
      </c>
      <c r="I25" s="12" t="s">
        <v>102</v>
      </c>
      <c r="J25" s="12" t="s">
        <v>47</v>
      </c>
      <c r="K25" s="12" t="s">
        <v>21</v>
      </c>
      <c r="L25" s="12">
        <v>20</v>
      </c>
      <c r="M25" s="12" t="s">
        <v>51</v>
      </c>
      <c r="N25" s="14"/>
    </row>
    <row r="26" spans="2:14">
      <c r="B26" s="12" t="s">
        <v>103</v>
      </c>
      <c r="C26" s="12" t="s">
        <v>104</v>
      </c>
      <c r="D26" s="12" t="s">
        <v>25</v>
      </c>
      <c r="E26" s="12">
        <v>3</v>
      </c>
      <c r="F26" s="13">
        <v>45300</v>
      </c>
      <c r="G26" s="12" t="s">
        <v>17</v>
      </c>
      <c r="H26" s="12" t="s">
        <v>105</v>
      </c>
      <c r="I26" s="12" t="s">
        <v>106</v>
      </c>
      <c r="J26" s="12" t="s">
        <v>47</v>
      </c>
      <c r="K26" s="12" t="s">
        <v>21</v>
      </c>
      <c r="L26" s="12">
        <v>31</v>
      </c>
      <c r="M26" s="12" t="s">
        <v>29</v>
      </c>
      <c r="N26" s="14"/>
    </row>
    <row r="27" spans="2:14">
      <c r="B27" s="12" t="s">
        <v>107</v>
      </c>
      <c r="C27" s="12" t="s">
        <v>108</v>
      </c>
      <c r="D27" s="12" t="s">
        <v>16</v>
      </c>
      <c r="E27" s="12">
        <v>5</v>
      </c>
      <c r="F27" s="13">
        <v>45300</v>
      </c>
      <c r="G27" s="12" t="s">
        <v>17</v>
      </c>
      <c r="H27" s="12" t="s">
        <v>109</v>
      </c>
      <c r="I27" s="12" t="s">
        <v>39</v>
      </c>
      <c r="J27" s="12" t="s">
        <v>40</v>
      </c>
      <c r="K27" s="12" t="s">
        <v>41</v>
      </c>
      <c r="L27" s="12">
        <v>39</v>
      </c>
      <c r="M27" s="12" t="s">
        <v>29</v>
      </c>
      <c r="N27" s="14"/>
    </row>
    <row r="28" spans="2:14">
      <c r="B28" s="12" t="s">
        <v>110</v>
      </c>
      <c r="C28" s="12" t="s">
        <v>111</v>
      </c>
      <c r="D28" s="12" t="s">
        <v>25</v>
      </c>
      <c r="E28" s="12">
        <v>3</v>
      </c>
      <c r="F28" s="13">
        <v>45301</v>
      </c>
      <c r="G28" s="12" t="s">
        <v>17</v>
      </c>
      <c r="H28" s="12" t="s">
        <v>112</v>
      </c>
      <c r="I28" s="12" t="s">
        <v>33</v>
      </c>
      <c r="J28" s="12" t="s">
        <v>28</v>
      </c>
      <c r="K28" s="12" t="s">
        <v>21</v>
      </c>
      <c r="L28" s="12">
        <v>38</v>
      </c>
      <c r="M28" s="12" t="s">
        <v>34</v>
      </c>
      <c r="N28" s="14"/>
    </row>
    <row r="29" spans="2:14">
      <c r="B29" s="12" t="s">
        <v>113</v>
      </c>
      <c r="C29" s="12" t="s">
        <v>114</v>
      </c>
      <c r="D29" s="12" t="s">
        <v>25</v>
      </c>
      <c r="E29" s="12">
        <v>4</v>
      </c>
      <c r="F29" s="13">
        <v>45301</v>
      </c>
      <c r="G29" s="12" t="s">
        <v>17</v>
      </c>
      <c r="H29" s="12" t="s">
        <v>115</v>
      </c>
      <c r="I29" s="12" t="s">
        <v>71</v>
      </c>
      <c r="J29" s="12" t="s">
        <v>28</v>
      </c>
      <c r="K29" s="12" t="s">
        <v>72</v>
      </c>
      <c r="L29" s="12">
        <v>44</v>
      </c>
      <c r="M29" s="12" t="s">
        <v>34</v>
      </c>
      <c r="N29" s="14"/>
    </row>
    <row r="30" spans="2:14">
      <c r="B30" s="12" t="s">
        <v>116</v>
      </c>
      <c r="C30" s="12" t="s">
        <v>117</v>
      </c>
      <c r="D30" s="12" t="s">
        <v>37</v>
      </c>
      <c r="E30" s="12">
        <v>4</v>
      </c>
      <c r="F30" s="13">
        <v>45302</v>
      </c>
      <c r="G30" s="12" t="s">
        <v>118</v>
      </c>
      <c r="H30" s="12" t="s">
        <v>119</v>
      </c>
      <c r="I30" s="12" t="s">
        <v>33</v>
      </c>
      <c r="J30" s="12" t="s">
        <v>20</v>
      </c>
      <c r="K30" s="12" t="s">
        <v>21</v>
      </c>
      <c r="L30" s="12">
        <v>41</v>
      </c>
      <c r="M30" s="12" t="s">
        <v>22</v>
      </c>
      <c r="N30" s="14"/>
    </row>
    <row r="31" spans="2:14">
      <c r="B31" s="12" t="s">
        <v>120</v>
      </c>
      <c r="C31" s="12" t="s">
        <v>121</v>
      </c>
      <c r="D31" s="12" t="s">
        <v>37</v>
      </c>
      <c r="E31" s="12">
        <v>4</v>
      </c>
      <c r="F31" s="13">
        <v>45302</v>
      </c>
      <c r="G31" s="12" t="s">
        <v>17</v>
      </c>
      <c r="H31" s="12" t="s">
        <v>122</v>
      </c>
      <c r="I31" s="12" t="s">
        <v>123</v>
      </c>
      <c r="J31" s="12" t="s">
        <v>20</v>
      </c>
      <c r="K31" s="12" t="s">
        <v>21</v>
      </c>
      <c r="L31" s="12">
        <v>7</v>
      </c>
      <c r="M31" s="12" t="s">
        <v>51</v>
      </c>
      <c r="N31" s="14"/>
    </row>
    <row r="32" spans="2:14">
      <c r="B32" s="12" t="s">
        <v>124</v>
      </c>
      <c r="C32" s="12" t="s">
        <v>125</v>
      </c>
      <c r="D32" s="12" t="s">
        <v>37</v>
      </c>
      <c r="E32" s="12">
        <v>4</v>
      </c>
      <c r="F32" s="13">
        <v>45303</v>
      </c>
      <c r="G32" s="12" t="s">
        <v>17</v>
      </c>
      <c r="H32" s="12" t="s">
        <v>126</v>
      </c>
      <c r="I32" s="12" t="s">
        <v>127</v>
      </c>
      <c r="J32" s="12" t="s">
        <v>40</v>
      </c>
      <c r="K32" s="12" t="s">
        <v>21</v>
      </c>
      <c r="L32" s="12">
        <v>34</v>
      </c>
      <c r="M32" s="12" t="s">
        <v>29</v>
      </c>
      <c r="N32" s="14"/>
    </row>
    <row r="33" spans="2:14">
      <c r="B33" s="12" t="s">
        <v>128</v>
      </c>
      <c r="C33" s="12" t="s">
        <v>129</v>
      </c>
      <c r="D33" s="12" t="s">
        <v>54</v>
      </c>
      <c r="E33" s="12">
        <v>10</v>
      </c>
      <c r="F33" s="13">
        <v>45303</v>
      </c>
      <c r="G33" s="12" t="s">
        <v>17</v>
      </c>
      <c r="H33" s="12" t="s">
        <v>130</v>
      </c>
      <c r="I33" s="12" t="s">
        <v>33</v>
      </c>
      <c r="J33" s="12" t="s">
        <v>47</v>
      </c>
      <c r="K33" s="12" t="s">
        <v>41</v>
      </c>
      <c r="L33" s="12">
        <v>36</v>
      </c>
      <c r="M33" s="12" t="s">
        <v>29</v>
      </c>
      <c r="N33" s="14"/>
    </row>
    <row r="34" spans="2:14">
      <c r="B34" s="12" t="s">
        <v>131</v>
      </c>
      <c r="C34" s="12" t="s">
        <v>132</v>
      </c>
      <c r="D34" s="12" t="s">
        <v>16</v>
      </c>
      <c r="E34" s="12">
        <v>8</v>
      </c>
      <c r="F34" s="13">
        <v>45304</v>
      </c>
      <c r="G34" s="12" t="s">
        <v>17</v>
      </c>
      <c r="H34" s="12" t="s">
        <v>133</v>
      </c>
      <c r="I34" s="12" t="s">
        <v>39</v>
      </c>
      <c r="J34" s="12" t="s">
        <v>28</v>
      </c>
      <c r="K34" s="12" t="s">
        <v>21</v>
      </c>
      <c r="L34" s="12">
        <v>9</v>
      </c>
      <c r="M34" s="12" t="s">
        <v>22</v>
      </c>
      <c r="N34" s="14"/>
    </row>
    <row r="35" spans="2:14">
      <c r="B35" s="12" t="s">
        <v>134</v>
      </c>
      <c r="C35" s="12" t="s">
        <v>135</v>
      </c>
      <c r="D35" s="12" t="s">
        <v>25</v>
      </c>
      <c r="E35" s="12">
        <v>6</v>
      </c>
      <c r="F35" s="13">
        <v>45304</v>
      </c>
      <c r="G35" s="12" t="s">
        <v>17</v>
      </c>
      <c r="H35" s="12" t="s">
        <v>136</v>
      </c>
      <c r="I35" s="12" t="s">
        <v>137</v>
      </c>
      <c r="J35" s="12" t="s">
        <v>28</v>
      </c>
      <c r="K35" s="12" t="s">
        <v>21</v>
      </c>
      <c r="L35" s="12">
        <v>39</v>
      </c>
      <c r="M35" s="12" t="s">
        <v>51</v>
      </c>
      <c r="N35" s="14"/>
    </row>
    <row r="36" spans="2:14">
      <c r="B36" s="12" t="s">
        <v>138</v>
      </c>
      <c r="C36" s="12" t="s">
        <v>139</v>
      </c>
      <c r="D36" s="12" t="s">
        <v>44</v>
      </c>
      <c r="E36" s="12">
        <v>7</v>
      </c>
      <c r="F36" s="13">
        <v>45305</v>
      </c>
      <c r="G36" s="12" t="s">
        <v>17</v>
      </c>
      <c r="H36" s="12" t="s">
        <v>140</v>
      </c>
      <c r="I36" s="12" t="s">
        <v>39</v>
      </c>
      <c r="J36" s="12" t="s">
        <v>40</v>
      </c>
      <c r="K36" s="12" t="s">
        <v>21</v>
      </c>
      <c r="L36" s="12">
        <v>17</v>
      </c>
      <c r="M36" s="12" t="s">
        <v>29</v>
      </c>
      <c r="N36" s="14"/>
    </row>
    <row r="37" spans="2:14">
      <c r="B37" s="12" t="s">
        <v>141</v>
      </c>
      <c r="C37" s="12" t="s">
        <v>142</v>
      </c>
      <c r="D37" s="12" t="s">
        <v>54</v>
      </c>
      <c r="E37" s="12">
        <v>10</v>
      </c>
      <c r="F37" s="13">
        <v>45305</v>
      </c>
      <c r="G37" s="12" t="s">
        <v>17</v>
      </c>
      <c r="H37" s="12" t="s">
        <v>143</v>
      </c>
      <c r="I37" s="12" t="s">
        <v>79</v>
      </c>
      <c r="J37" s="12" t="s">
        <v>47</v>
      </c>
      <c r="K37" s="12" t="s">
        <v>21</v>
      </c>
      <c r="L37" s="12">
        <v>26</v>
      </c>
      <c r="M37" s="12" t="s">
        <v>29</v>
      </c>
      <c r="N37" s="14"/>
    </row>
    <row r="38" spans="2:14">
      <c r="B38" s="12" t="s">
        <v>144</v>
      </c>
      <c r="C38" s="12" t="s">
        <v>145</v>
      </c>
      <c r="D38" s="12" t="s">
        <v>16</v>
      </c>
      <c r="E38" s="12">
        <v>6</v>
      </c>
      <c r="F38" s="13">
        <v>45306</v>
      </c>
      <c r="G38" s="12" t="s">
        <v>118</v>
      </c>
      <c r="H38" s="12" t="s">
        <v>146</v>
      </c>
      <c r="I38" s="12" t="s">
        <v>33</v>
      </c>
      <c r="J38" s="12" t="s">
        <v>20</v>
      </c>
      <c r="K38" s="12" t="s">
        <v>41</v>
      </c>
      <c r="L38" s="12">
        <v>35</v>
      </c>
      <c r="M38" s="12" t="s">
        <v>51</v>
      </c>
      <c r="N38" s="14"/>
    </row>
    <row r="39" spans="2:14">
      <c r="B39" s="12" t="s">
        <v>147</v>
      </c>
      <c r="C39" s="12" t="s">
        <v>148</v>
      </c>
      <c r="D39" s="12" t="s">
        <v>25</v>
      </c>
      <c r="E39" s="12">
        <v>5</v>
      </c>
      <c r="F39" s="13">
        <v>45306</v>
      </c>
      <c r="G39" s="12" t="s">
        <v>55</v>
      </c>
      <c r="H39" s="12" t="s">
        <v>149</v>
      </c>
      <c r="I39" s="12" t="s">
        <v>123</v>
      </c>
      <c r="J39" s="12" t="s">
        <v>28</v>
      </c>
      <c r="K39" s="12" t="s">
        <v>41</v>
      </c>
      <c r="L39" s="12">
        <v>25</v>
      </c>
      <c r="M39" s="12" t="s">
        <v>22</v>
      </c>
      <c r="N39" s="14"/>
    </row>
    <row r="40" spans="2:14">
      <c r="B40" s="12" t="s">
        <v>150</v>
      </c>
      <c r="C40" s="12" t="s">
        <v>151</v>
      </c>
      <c r="D40" s="12" t="s">
        <v>25</v>
      </c>
      <c r="E40" s="12">
        <v>3</v>
      </c>
      <c r="F40" s="13">
        <v>45307</v>
      </c>
      <c r="G40" s="12" t="s">
        <v>118</v>
      </c>
      <c r="H40" s="12" t="s">
        <v>122</v>
      </c>
      <c r="I40" s="12" t="s">
        <v>123</v>
      </c>
      <c r="J40" s="12" t="s">
        <v>20</v>
      </c>
      <c r="K40" s="12" t="s">
        <v>21</v>
      </c>
      <c r="L40" s="12">
        <v>35</v>
      </c>
      <c r="M40" s="12" t="s">
        <v>22</v>
      </c>
      <c r="N40" s="14"/>
    </row>
    <row r="41" spans="2:14">
      <c r="B41" s="12" t="s">
        <v>152</v>
      </c>
      <c r="C41" s="12" t="s">
        <v>153</v>
      </c>
      <c r="D41" s="12" t="s">
        <v>25</v>
      </c>
      <c r="E41" s="12">
        <v>3</v>
      </c>
      <c r="F41" s="13">
        <v>45307</v>
      </c>
      <c r="G41" s="12" t="s">
        <v>17</v>
      </c>
      <c r="H41" s="12" t="s">
        <v>154</v>
      </c>
      <c r="I41" s="12" t="s">
        <v>33</v>
      </c>
      <c r="J41" s="12" t="s">
        <v>28</v>
      </c>
      <c r="K41" s="12" t="s">
        <v>21</v>
      </c>
      <c r="L41" s="12">
        <v>38</v>
      </c>
      <c r="M41" s="12" t="s">
        <v>51</v>
      </c>
      <c r="N41" s="14"/>
    </row>
    <row r="42" spans="2:14">
      <c r="B42" s="12" t="s">
        <v>155</v>
      </c>
      <c r="C42" s="12" t="s">
        <v>156</v>
      </c>
      <c r="D42" s="12" t="s">
        <v>25</v>
      </c>
      <c r="E42" s="12">
        <v>3</v>
      </c>
      <c r="F42" s="13">
        <v>45308</v>
      </c>
      <c r="G42" s="12" t="s">
        <v>17</v>
      </c>
      <c r="H42" s="12" t="s">
        <v>157</v>
      </c>
      <c r="I42" s="12" t="s">
        <v>158</v>
      </c>
      <c r="J42" s="12" t="s">
        <v>47</v>
      </c>
      <c r="K42" s="12" t="s">
        <v>41</v>
      </c>
      <c r="L42" s="12">
        <v>14</v>
      </c>
      <c r="M42" s="12" t="s">
        <v>29</v>
      </c>
      <c r="N42" s="14"/>
    </row>
    <row r="43" spans="2:14">
      <c r="B43" s="12" t="s">
        <v>159</v>
      </c>
      <c r="C43" s="12" t="s">
        <v>160</v>
      </c>
      <c r="D43" s="12" t="s">
        <v>25</v>
      </c>
      <c r="E43" s="12">
        <v>6</v>
      </c>
      <c r="F43" s="13">
        <v>45308</v>
      </c>
      <c r="G43" s="12" t="s">
        <v>17</v>
      </c>
      <c r="H43" s="12" t="s">
        <v>70</v>
      </c>
      <c r="I43" s="12" t="s">
        <v>71</v>
      </c>
      <c r="J43" s="12" t="s">
        <v>47</v>
      </c>
      <c r="K43" s="12" t="s">
        <v>21</v>
      </c>
      <c r="L43" s="12">
        <v>43</v>
      </c>
      <c r="M43" s="12" t="s">
        <v>29</v>
      </c>
      <c r="N43" s="14"/>
    </row>
    <row r="44" spans="2:14">
      <c r="B44" s="12" t="s">
        <v>161</v>
      </c>
      <c r="C44" s="12" t="s">
        <v>162</v>
      </c>
      <c r="D44" s="12" t="s">
        <v>54</v>
      </c>
      <c r="E44" s="12">
        <v>9</v>
      </c>
      <c r="F44" s="13">
        <v>45309</v>
      </c>
      <c r="G44" s="12" t="s">
        <v>17</v>
      </c>
      <c r="H44" s="12" t="s">
        <v>163</v>
      </c>
      <c r="I44" s="12" t="s">
        <v>71</v>
      </c>
      <c r="J44" s="12" t="s">
        <v>28</v>
      </c>
      <c r="K44" s="12" t="s">
        <v>21</v>
      </c>
      <c r="L44" s="12">
        <v>43</v>
      </c>
      <c r="M44" s="12" t="s">
        <v>29</v>
      </c>
      <c r="N44" s="14"/>
    </row>
    <row r="45" spans="2:14">
      <c r="B45" s="12" t="s">
        <v>164</v>
      </c>
      <c r="C45" s="12" t="s">
        <v>165</v>
      </c>
      <c r="D45" s="12" t="s">
        <v>16</v>
      </c>
      <c r="E45" s="12">
        <v>6</v>
      </c>
      <c r="F45" s="13">
        <v>45309</v>
      </c>
      <c r="G45" s="12" t="s">
        <v>17</v>
      </c>
      <c r="H45" s="12" t="s">
        <v>166</v>
      </c>
      <c r="I45" s="12" t="s">
        <v>46</v>
      </c>
      <c r="J45" s="12" t="s">
        <v>47</v>
      </c>
      <c r="K45" s="12" t="s">
        <v>21</v>
      </c>
      <c r="L45" s="12">
        <v>6</v>
      </c>
      <c r="M45" s="12" t="s">
        <v>51</v>
      </c>
      <c r="N45" s="14"/>
    </row>
    <row r="46" spans="2:14">
      <c r="B46" s="12" t="s">
        <v>167</v>
      </c>
      <c r="C46" s="12" t="s">
        <v>168</v>
      </c>
      <c r="D46" s="12" t="s">
        <v>44</v>
      </c>
      <c r="E46" s="12">
        <v>7</v>
      </c>
      <c r="F46" s="13">
        <v>45310</v>
      </c>
      <c r="G46" s="12" t="s">
        <v>17</v>
      </c>
      <c r="H46" s="12" t="s">
        <v>169</v>
      </c>
      <c r="I46" s="12" t="s">
        <v>170</v>
      </c>
      <c r="J46" s="12" t="s">
        <v>40</v>
      </c>
      <c r="K46" s="12" t="s">
        <v>41</v>
      </c>
      <c r="L46" s="12">
        <v>41</v>
      </c>
      <c r="M46" s="12" t="s">
        <v>29</v>
      </c>
      <c r="N46" s="14"/>
    </row>
    <row r="47" spans="2:14">
      <c r="B47" s="12" t="s">
        <v>171</v>
      </c>
      <c r="C47" s="12" t="s">
        <v>172</v>
      </c>
      <c r="D47" s="12" t="s">
        <v>25</v>
      </c>
      <c r="E47" s="12">
        <v>4</v>
      </c>
      <c r="F47" s="13">
        <v>45310</v>
      </c>
      <c r="G47" s="12" t="s">
        <v>55</v>
      </c>
      <c r="H47" s="12" t="s">
        <v>173</v>
      </c>
      <c r="I47" s="12" t="s">
        <v>174</v>
      </c>
      <c r="J47" s="12" t="s">
        <v>28</v>
      </c>
      <c r="K47" s="12" t="s">
        <v>21</v>
      </c>
      <c r="L47" s="12">
        <v>27</v>
      </c>
      <c r="M47" s="12" t="s">
        <v>51</v>
      </c>
      <c r="N47" s="14"/>
    </row>
    <row r="48" spans="2:14">
      <c r="B48" s="12" t="s">
        <v>175</v>
      </c>
      <c r="C48" s="12" t="s">
        <v>176</v>
      </c>
      <c r="D48" s="12" t="s">
        <v>44</v>
      </c>
      <c r="E48" s="12">
        <v>7</v>
      </c>
      <c r="F48" s="13">
        <v>45311</v>
      </c>
      <c r="G48" s="12" t="s">
        <v>55</v>
      </c>
      <c r="H48" s="12" t="s">
        <v>177</v>
      </c>
      <c r="I48" s="12" t="s">
        <v>79</v>
      </c>
      <c r="J48" s="12" t="s">
        <v>28</v>
      </c>
      <c r="K48" s="12" t="s">
        <v>21</v>
      </c>
      <c r="L48" s="12">
        <v>9</v>
      </c>
      <c r="M48" s="12" t="s">
        <v>29</v>
      </c>
      <c r="N48" s="14"/>
    </row>
    <row r="49" spans="2:14">
      <c r="B49" s="12" t="s">
        <v>178</v>
      </c>
      <c r="C49" s="12" t="s">
        <v>179</v>
      </c>
      <c r="D49" s="12" t="s">
        <v>37</v>
      </c>
      <c r="E49" s="12">
        <v>4</v>
      </c>
      <c r="F49" s="13">
        <v>45311</v>
      </c>
      <c r="G49" s="12" t="s">
        <v>55</v>
      </c>
      <c r="H49" s="12" t="s">
        <v>97</v>
      </c>
      <c r="I49" s="12" t="s">
        <v>98</v>
      </c>
      <c r="J49" s="12" t="s">
        <v>28</v>
      </c>
      <c r="K49" s="12" t="s">
        <v>21</v>
      </c>
      <c r="L49" s="12">
        <v>30</v>
      </c>
      <c r="M49" s="12" t="s">
        <v>29</v>
      </c>
      <c r="N49" s="14"/>
    </row>
    <row r="50" spans="2:14">
      <c r="B50" s="12" t="s">
        <v>180</v>
      </c>
      <c r="C50" s="12" t="s">
        <v>181</v>
      </c>
      <c r="D50" s="12" t="s">
        <v>37</v>
      </c>
      <c r="E50" s="12">
        <v>2</v>
      </c>
      <c r="F50" s="13">
        <v>45312</v>
      </c>
      <c r="G50" s="12" t="s">
        <v>17</v>
      </c>
      <c r="H50" s="12" t="s">
        <v>182</v>
      </c>
      <c r="I50" s="12" t="s">
        <v>102</v>
      </c>
      <c r="J50" s="12" t="s">
        <v>20</v>
      </c>
      <c r="K50" s="12" t="s">
        <v>72</v>
      </c>
      <c r="L50" s="12">
        <v>36</v>
      </c>
      <c r="M50" s="12" t="s">
        <v>22</v>
      </c>
      <c r="N50" s="14"/>
    </row>
    <row r="51" spans="2:14">
      <c r="B51" s="12" t="s">
        <v>183</v>
      </c>
      <c r="C51" s="12" t="s">
        <v>184</v>
      </c>
      <c r="D51" s="12" t="s">
        <v>25</v>
      </c>
      <c r="E51" s="12">
        <v>3</v>
      </c>
      <c r="F51" s="13">
        <v>45312</v>
      </c>
      <c r="G51" s="12" t="s">
        <v>55</v>
      </c>
      <c r="H51" s="12" t="s">
        <v>185</v>
      </c>
      <c r="I51" s="12" t="s">
        <v>186</v>
      </c>
      <c r="J51" s="12" t="s">
        <v>28</v>
      </c>
      <c r="K51" s="12" t="s">
        <v>72</v>
      </c>
      <c r="L51" s="12">
        <v>17</v>
      </c>
      <c r="M51" s="12" t="s">
        <v>51</v>
      </c>
      <c r="N51" s="14"/>
    </row>
    <row r="52" spans="2:14">
      <c r="B52" s="12" t="s">
        <v>187</v>
      </c>
      <c r="C52" s="12" t="s">
        <v>188</v>
      </c>
      <c r="D52" s="12" t="s">
        <v>37</v>
      </c>
      <c r="E52" s="12">
        <v>4</v>
      </c>
      <c r="F52" s="13">
        <v>45313</v>
      </c>
      <c r="G52" s="12" t="s">
        <v>17</v>
      </c>
      <c r="H52" s="12" t="s">
        <v>38</v>
      </c>
      <c r="I52" s="12" t="s">
        <v>39</v>
      </c>
      <c r="J52" s="12" t="s">
        <v>47</v>
      </c>
      <c r="K52" s="12" t="s">
        <v>21</v>
      </c>
      <c r="L52" s="12">
        <v>38</v>
      </c>
      <c r="M52" s="12" t="s">
        <v>51</v>
      </c>
      <c r="N52" s="14"/>
    </row>
    <row r="53" spans="2:14">
      <c r="B53" s="12" t="s">
        <v>189</v>
      </c>
      <c r="C53" s="12" t="s">
        <v>190</v>
      </c>
      <c r="D53" s="12" t="s">
        <v>37</v>
      </c>
      <c r="E53" s="12">
        <v>2</v>
      </c>
      <c r="F53" s="13">
        <v>45313</v>
      </c>
      <c r="G53" s="12" t="s">
        <v>118</v>
      </c>
      <c r="H53" s="12" t="s">
        <v>191</v>
      </c>
      <c r="I53" s="12" t="s">
        <v>71</v>
      </c>
      <c r="J53" s="12" t="s">
        <v>20</v>
      </c>
      <c r="K53" s="12" t="s">
        <v>21</v>
      </c>
      <c r="L53" s="12">
        <v>36</v>
      </c>
      <c r="M53" s="12" t="s">
        <v>29</v>
      </c>
      <c r="N53" s="14"/>
    </row>
    <row r="54" spans="2:14">
      <c r="B54" s="12" t="s">
        <v>192</v>
      </c>
      <c r="C54" s="12" t="s">
        <v>193</v>
      </c>
      <c r="D54" s="12" t="s">
        <v>44</v>
      </c>
      <c r="E54" s="12">
        <v>9</v>
      </c>
      <c r="F54" s="13">
        <v>45314</v>
      </c>
      <c r="G54" s="12" t="s">
        <v>17</v>
      </c>
      <c r="H54" s="12" t="s">
        <v>194</v>
      </c>
      <c r="I54" s="12" t="s">
        <v>71</v>
      </c>
      <c r="J54" s="12" t="s">
        <v>20</v>
      </c>
      <c r="K54" s="12" t="s">
        <v>21</v>
      </c>
      <c r="L54" s="12">
        <v>38</v>
      </c>
      <c r="M54" s="12" t="s">
        <v>51</v>
      </c>
      <c r="N54" s="14"/>
    </row>
    <row r="55" spans="2:14">
      <c r="B55" s="12" t="s">
        <v>195</v>
      </c>
      <c r="C55" s="12" t="s">
        <v>196</v>
      </c>
      <c r="D55" s="12" t="s">
        <v>25</v>
      </c>
      <c r="E55" s="12">
        <v>6</v>
      </c>
      <c r="F55" s="13">
        <v>45314</v>
      </c>
      <c r="G55" s="12" t="s">
        <v>17</v>
      </c>
      <c r="H55" s="12" t="s">
        <v>197</v>
      </c>
      <c r="I55" s="12" t="s">
        <v>198</v>
      </c>
      <c r="J55" s="12" t="s">
        <v>20</v>
      </c>
      <c r="K55" s="12" t="s">
        <v>21</v>
      </c>
      <c r="L55" s="12">
        <v>13</v>
      </c>
      <c r="M55" s="12" t="s">
        <v>51</v>
      </c>
      <c r="N55" s="14"/>
    </row>
    <row r="56" spans="2:14">
      <c r="B56" s="12" t="s">
        <v>199</v>
      </c>
      <c r="C56" s="12" t="s">
        <v>200</v>
      </c>
      <c r="D56" s="12" t="s">
        <v>44</v>
      </c>
      <c r="E56" s="12">
        <v>8</v>
      </c>
      <c r="F56" s="13">
        <v>45315</v>
      </c>
      <c r="G56" s="12" t="s">
        <v>118</v>
      </c>
      <c r="H56" s="12" t="s">
        <v>201</v>
      </c>
      <c r="I56" s="12" t="s">
        <v>202</v>
      </c>
      <c r="J56" s="12" t="s">
        <v>20</v>
      </c>
      <c r="K56" s="12" t="s">
        <v>21</v>
      </c>
      <c r="L56" s="12">
        <v>42</v>
      </c>
      <c r="M56" s="12" t="s">
        <v>29</v>
      </c>
      <c r="N56" s="14"/>
    </row>
    <row r="57" spans="2:14">
      <c r="B57" s="12" t="s">
        <v>203</v>
      </c>
      <c r="C57" s="12" t="s">
        <v>204</v>
      </c>
      <c r="D57" s="12" t="s">
        <v>16</v>
      </c>
      <c r="E57" s="12">
        <v>8</v>
      </c>
      <c r="F57" s="13">
        <v>45315</v>
      </c>
      <c r="G57" s="12" t="s">
        <v>118</v>
      </c>
      <c r="H57" s="12" t="s">
        <v>205</v>
      </c>
      <c r="I57" s="12" t="s">
        <v>206</v>
      </c>
      <c r="J57" s="12" t="s">
        <v>20</v>
      </c>
      <c r="K57" s="12" t="s">
        <v>21</v>
      </c>
      <c r="L57" s="12">
        <v>7</v>
      </c>
      <c r="M57" s="12" t="s">
        <v>51</v>
      </c>
      <c r="N57" s="14"/>
    </row>
    <row r="58" spans="2:14">
      <c r="B58" s="12" t="s">
        <v>207</v>
      </c>
      <c r="C58" s="12" t="s">
        <v>208</v>
      </c>
      <c r="D58" s="12" t="s">
        <v>37</v>
      </c>
      <c r="E58" s="12">
        <v>4</v>
      </c>
      <c r="F58" s="13">
        <v>45315</v>
      </c>
      <c r="G58" s="12" t="s">
        <v>55</v>
      </c>
      <c r="H58" s="12" t="s">
        <v>209</v>
      </c>
      <c r="I58" s="12" t="s">
        <v>71</v>
      </c>
      <c r="J58" s="12" t="s">
        <v>28</v>
      </c>
      <c r="K58" s="12" t="s">
        <v>21</v>
      </c>
      <c r="L58" s="12">
        <v>30</v>
      </c>
      <c r="M58" s="12" t="s">
        <v>51</v>
      </c>
      <c r="N58" s="14"/>
    </row>
    <row r="59" spans="2:14">
      <c r="B59" s="12" t="s">
        <v>210</v>
      </c>
      <c r="C59" s="12" t="s">
        <v>211</v>
      </c>
      <c r="D59" s="12" t="s">
        <v>25</v>
      </c>
      <c r="E59" s="12">
        <v>4</v>
      </c>
      <c r="F59" s="13">
        <v>45315</v>
      </c>
      <c r="G59" s="12" t="s">
        <v>118</v>
      </c>
      <c r="H59" s="12" t="s">
        <v>109</v>
      </c>
      <c r="I59" s="12" t="s">
        <v>39</v>
      </c>
      <c r="J59" s="12" t="s">
        <v>20</v>
      </c>
      <c r="K59" s="12" t="s">
        <v>72</v>
      </c>
      <c r="L59" s="12">
        <v>22</v>
      </c>
      <c r="M59" s="12" t="s">
        <v>51</v>
      </c>
      <c r="N59" s="14"/>
    </row>
    <row r="60" spans="2:14">
      <c r="B60" s="12" t="s">
        <v>212</v>
      </c>
      <c r="C60" s="12" t="s">
        <v>213</v>
      </c>
      <c r="D60" s="12" t="s">
        <v>44</v>
      </c>
      <c r="E60" s="12">
        <v>7</v>
      </c>
      <c r="F60" s="13">
        <v>45316</v>
      </c>
      <c r="G60" s="12" t="s">
        <v>17</v>
      </c>
      <c r="H60" s="12" t="s">
        <v>214</v>
      </c>
      <c r="I60" s="12" t="s">
        <v>215</v>
      </c>
      <c r="J60" s="12" t="s">
        <v>28</v>
      </c>
      <c r="K60" s="12" t="s">
        <v>21</v>
      </c>
      <c r="L60" s="12">
        <v>8</v>
      </c>
      <c r="M60" s="12" t="s">
        <v>51</v>
      </c>
      <c r="N60" s="14"/>
    </row>
    <row r="61" spans="2:14">
      <c r="B61" s="12" t="s">
        <v>216</v>
      </c>
      <c r="C61" s="12" t="s">
        <v>217</v>
      </c>
      <c r="D61" s="12" t="s">
        <v>37</v>
      </c>
      <c r="E61" s="12">
        <v>3</v>
      </c>
      <c r="F61" s="13">
        <v>45316</v>
      </c>
      <c r="G61" s="12" t="s">
        <v>17</v>
      </c>
      <c r="H61" s="12" t="s">
        <v>218</v>
      </c>
      <c r="I61" s="12" t="s">
        <v>198</v>
      </c>
      <c r="J61" s="12" t="s">
        <v>20</v>
      </c>
      <c r="K61" s="12" t="s">
        <v>72</v>
      </c>
      <c r="L61" s="12">
        <v>44</v>
      </c>
      <c r="M61" s="12" t="s">
        <v>51</v>
      </c>
      <c r="N61" s="14"/>
    </row>
    <row r="62" spans="2:14">
      <c r="B62" s="12" t="s">
        <v>219</v>
      </c>
      <c r="C62" s="12" t="s">
        <v>220</v>
      </c>
      <c r="D62" s="12" t="s">
        <v>37</v>
      </c>
      <c r="E62" s="12">
        <v>1</v>
      </c>
      <c r="F62" s="13">
        <v>45317</v>
      </c>
      <c r="G62" s="12" t="s">
        <v>17</v>
      </c>
      <c r="H62" s="12" t="s">
        <v>157</v>
      </c>
      <c r="I62" s="12" t="s">
        <v>158</v>
      </c>
      <c r="J62" s="12" t="s">
        <v>20</v>
      </c>
      <c r="K62" s="12" t="s">
        <v>21</v>
      </c>
      <c r="L62" s="12">
        <v>34</v>
      </c>
      <c r="M62" s="12" t="s">
        <v>51</v>
      </c>
      <c r="N62" s="14"/>
    </row>
    <row r="63" spans="2:14">
      <c r="B63" s="12" t="s">
        <v>221</v>
      </c>
      <c r="C63" s="12" t="s">
        <v>222</v>
      </c>
      <c r="D63" s="12" t="s">
        <v>25</v>
      </c>
      <c r="E63" s="12">
        <v>6</v>
      </c>
      <c r="F63" s="13">
        <v>45317</v>
      </c>
      <c r="G63" s="12" t="s">
        <v>17</v>
      </c>
      <c r="H63" s="12" t="s">
        <v>122</v>
      </c>
      <c r="I63" s="12" t="s">
        <v>123</v>
      </c>
      <c r="J63" s="12" t="s">
        <v>28</v>
      </c>
      <c r="K63" s="12" t="s">
        <v>21</v>
      </c>
      <c r="L63" s="12">
        <v>18</v>
      </c>
      <c r="M63" s="12" t="s">
        <v>29</v>
      </c>
      <c r="N63" s="14"/>
    </row>
    <row r="64" spans="2:14">
      <c r="B64" s="12" t="s">
        <v>223</v>
      </c>
      <c r="C64" s="12" t="s">
        <v>224</v>
      </c>
      <c r="D64" s="12" t="s">
        <v>25</v>
      </c>
      <c r="E64" s="12">
        <v>4</v>
      </c>
      <c r="F64" s="13">
        <v>45318</v>
      </c>
      <c r="G64" s="12" t="s">
        <v>17</v>
      </c>
      <c r="H64" s="12" t="s">
        <v>225</v>
      </c>
      <c r="I64" s="12" t="s">
        <v>202</v>
      </c>
      <c r="J64" s="12" t="s">
        <v>40</v>
      </c>
      <c r="K64" s="12" t="s">
        <v>21</v>
      </c>
      <c r="L64" s="12">
        <v>23</v>
      </c>
      <c r="M64" s="12" t="s">
        <v>29</v>
      </c>
      <c r="N64" s="14"/>
    </row>
    <row r="65" spans="2:14">
      <c r="B65" s="12" t="s">
        <v>226</v>
      </c>
      <c r="C65" s="12" t="s">
        <v>227</v>
      </c>
      <c r="D65" s="12" t="s">
        <v>16</v>
      </c>
      <c r="E65" s="12">
        <v>7</v>
      </c>
      <c r="F65" s="13">
        <v>45318</v>
      </c>
      <c r="G65" s="12" t="s">
        <v>17</v>
      </c>
      <c r="H65" s="12" t="s">
        <v>228</v>
      </c>
      <c r="I65" s="12" t="s">
        <v>198</v>
      </c>
      <c r="J65" s="12" t="s">
        <v>28</v>
      </c>
      <c r="K65" s="12" t="s">
        <v>21</v>
      </c>
      <c r="L65" s="12">
        <v>37</v>
      </c>
      <c r="M65" s="12" t="s">
        <v>29</v>
      </c>
      <c r="N65" s="14"/>
    </row>
    <row r="66" spans="2:14">
      <c r="B66" s="12" t="s">
        <v>229</v>
      </c>
      <c r="C66" s="12" t="s">
        <v>230</v>
      </c>
      <c r="D66" s="12" t="s">
        <v>54</v>
      </c>
      <c r="E66" s="12">
        <v>9</v>
      </c>
      <c r="F66" s="13">
        <v>45319</v>
      </c>
      <c r="G66" s="12" t="s">
        <v>17</v>
      </c>
      <c r="H66" s="12" t="s">
        <v>231</v>
      </c>
      <c r="I66" s="12" t="s">
        <v>79</v>
      </c>
      <c r="J66" s="12" t="s">
        <v>47</v>
      </c>
      <c r="K66" s="12" t="s">
        <v>21</v>
      </c>
      <c r="L66" s="12">
        <v>14</v>
      </c>
      <c r="M66" s="12" t="s">
        <v>51</v>
      </c>
      <c r="N66" s="14"/>
    </row>
    <row r="67" spans="2:14">
      <c r="B67" s="12" t="s">
        <v>232</v>
      </c>
      <c r="C67" s="12" t="s">
        <v>233</v>
      </c>
      <c r="D67" s="12" t="s">
        <v>25</v>
      </c>
      <c r="E67" s="12">
        <v>5</v>
      </c>
      <c r="F67" s="13">
        <v>45319</v>
      </c>
      <c r="G67" s="12" t="s">
        <v>17</v>
      </c>
      <c r="H67" s="12" t="s">
        <v>234</v>
      </c>
      <c r="I67" s="12" t="s">
        <v>186</v>
      </c>
      <c r="J67" s="12" t="s">
        <v>47</v>
      </c>
      <c r="K67" s="12" t="s">
        <v>21</v>
      </c>
      <c r="L67" s="12">
        <v>31</v>
      </c>
      <c r="M67" s="12" t="s">
        <v>34</v>
      </c>
      <c r="N67" s="14"/>
    </row>
    <row r="68" spans="2:14">
      <c r="B68" s="12" t="s">
        <v>235</v>
      </c>
      <c r="C68" s="12" t="s">
        <v>236</v>
      </c>
      <c r="D68" s="12" t="s">
        <v>37</v>
      </c>
      <c r="E68" s="12">
        <v>1</v>
      </c>
      <c r="F68" s="13">
        <v>45320</v>
      </c>
      <c r="G68" s="12" t="s">
        <v>55</v>
      </c>
      <c r="H68" s="12" t="s">
        <v>237</v>
      </c>
      <c r="I68" s="12" t="s">
        <v>198</v>
      </c>
      <c r="J68" s="12" t="s">
        <v>28</v>
      </c>
      <c r="K68" s="12" t="s">
        <v>21</v>
      </c>
      <c r="L68" s="12">
        <v>10</v>
      </c>
      <c r="M68" s="12" t="s">
        <v>34</v>
      </c>
      <c r="N68" s="14"/>
    </row>
    <row r="69" spans="2:14">
      <c r="B69" s="12" t="s">
        <v>238</v>
      </c>
      <c r="C69" s="12" t="s">
        <v>239</v>
      </c>
      <c r="D69" s="12" t="s">
        <v>25</v>
      </c>
      <c r="E69" s="12">
        <v>3</v>
      </c>
      <c r="F69" s="13">
        <v>45320</v>
      </c>
      <c r="G69" s="12" t="s">
        <v>17</v>
      </c>
      <c r="H69" s="12" t="s">
        <v>240</v>
      </c>
      <c r="I69" s="12" t="s">
        <v>33</v>
      </c>
      <c r="J69" s="12" t="s">
        <v>20</v>
      </c>
      <c r="K69" s="12" t="s">
        <v>72</v>
      </c>
      <c r="L69" s="12">
        <v>45</v>
      </c>
      <c r="M69" s="12" t="s">
        <v>51</v>
      </c>
      <c r="N69" s="14"/>
    </row>
    <row r="70" spans="2:14">
      <c r="B70" s="12" t="s">
        <v>241</v>
      </c>
      <c r="C70" s="12" t="s">
        <v>242</v>
      </c>
      <c r="D70" s="12" t="s">
        <v>25</v>
      </c>
      <c r="E70" s="12">
        <v>5</v>
      </c>
      <c r="F70" s="13">
        <v>45320</v>
      </c>
      <c r="G70" s="12" t="s">
        <v>17</v>
      </c>
      <c r="H70" s="12" t="s">
        <v>59</v>
      </c>
      <c r="I70" s="12" t="s">
        <v>60</v>
      </c>
      <c r="J70" s="12" t="s">
        <v>40</v>
      </c>
      <c r="K70" s="12" t="s">
        <v>21</v>
      </c>
      <c r="L70" s="12">
        <v>8</v>
      </c>
      <c r="M70" s="12" t="s">
        <v>34</v>
      </c>
      <c r="N70" s="14"/>
    </row>
    <row r="71" spans="2:14">
      <c r="B71" s="12" t="s">
        <v>243</v>
      </c>
      <c r="C71" s="12" t="s">
        <v>244</v>
      </c>
      <c r="D71" s="12" t="s">
        <v>44</v>
      </c>
      <c r="E71" s="12">
        <v>8</v>
      </c>
      <c r="F71" s="13">
        <v>45320</v>
      </c>
      <c r="G71" s="12" t="s">
        <v>17</v>
      </c>
      <c r="H71" s="12" t="s">
        <v>245</v>
      </c>
      <c r="I71" s="12" t="s">
        <v>71</v>
      </c>
      <c r="J71" s="12" t="s">
        <v>40</v>
      </c>
      <c r="K71" s="12" t="s">
        <v>41</v>
      </c>
      <c r="L71" s="12">
        <v>35</v>
      </c>
      <c r="M71" s="12" t="s">
        <v>29</v>
      </c>
      <c r="N71" s="14"/>
    </row>
    <row r="72" spans="2:14">
      <c r="B72" s="12" t="s">
        <v>246</v>
      </c>
      <c r="C72" s="12" t="s">
        <v>247</v>
      </c>
      <c r="D72" s="12" t="s">
        <v>54</v>
      </c>
      <c r="E72" s="12">
        <v>9</v>
      </c>
      <c r="F72" s="13">
        <v>45320</v>
      </c>
      <c r="G72" s="12" t="s">
        <v>55</v>
      </c>
      <c r="H72" s="12" t="s">
        <v>112</v>
      </c>
      <c r="I72" s="12" t="s">
        <v>33</v>
      </c>
      <c r="J72" s="12" t="s">
        <v>28</v>
      </c>
      <c r="K72" s="12" t="s">
        <v>21</v>
      </c>
      <c r="L72" s="12">
        <v>33</v>
      </c>
      <c r="M72" s="12" t="s">
        <v>29</v>
      </c>
      <c r="N72" s="14"/>
    </row>
    <row r="73" spans="2:14">
      <c r="B73" s="12" t="s">
        <v>248</v>
      </c>
      <c r="C73" s="12" t="s">
        <v>249</v>
      </c>
      <c r="D73" s="12" t="s">
        <v>16</v>
      </c>
      <c r="E73" s="12">
        <v>8</v>
      </c>
      <c r="F73" s="13">
        <v>45321</v>
      </c>
      <c r="G73" s="12" t="s">
        <v>55</v>
      </c>
      <c r="H73" s="12" t="s">
        <v>197</v>
      </c>
      <c r="I73" s="12" t="s">
        <v>198</v>
      </c>
      <c r="J73" s="12" t="s">
        <v>28</v>
      </c>
      <c r="K73" s="12" t="s">
        <v>21</v>
      </c>
      <c r="L73" s="12">
        <v>8</v>
      </c>
      <c r="M73" s="12" t="s">
        <v>51</v>
      </c>
      <c r="N73" s="14"/>
    </row>
    <row r="74" spans="2:14">
      <c r="B74" s="12" t="s">
        <v>250</v>
      </c>
      <c r="C74" s="12" t="s">
        <v>251</v>
      </c>
      <c r="D74" s="12" t="s">
        <v>25</v>
      </c>
      <c r="E74" s="12">
        <v>3</v>
      </c>
      <c r="F74" s="13">
        <v>45321</v>
      </c>
      <c r="G74" s="12" t="s">
        <v>17</v>
      </c>
      <c r="H74" s="12" t="s">
        <v>252</v>
      </c>
      <c r="I74" s="12" t="s">
        <v>253</v>
      </c>
      <c r="J74" s="12" t="s">
        <v>47</v>
      </c>
      <c r="K74" s="12" t="s">
        <v>21</v>
      </c>
      <c r="L74" s="12">
        <v>19</v>
      </c>
      <c r="M74" s="12" t="s">
        <v>51</v>
      </c>
      <c r="N74" s="14"/>
    </row>
    <row r="75" spans="2:14">
      <c r="B75" s="12" t="s">
        <v>254</v>
      </c>
      <c r="C75" s="12" t="s">
        <v>255</v>
      </c>
      <c r="D75" s="12" t="s">
        <v>25</v>
      </c>
      <c r="E75" s="12">
        <v>3</v>
      </c>
      <c r="F75" s="13">
        <v>45322</v>
      </c>
      <c r="G75" s="12" t="s">
        <v>17</v>
      </c>
      <c r="H75" s="12" t="s">
        <v>252</v>
      </c>
      <c r="I75" s="12" t="s">
        <v>256</v>
      </c>
      <c r="J75" s="12" t="s">
        <v>47</v>
      </c>
      <c r="K75" s="12" t="s">
        <v>21</v>
      </c>
      <c r="L75" s="12">
        <v>23</v>
      </c>
      <c r="M75" s="12" t="s">
        <v>29</v>
      </c>
      <c r="N75" s="14"/>
    </row>
    <row r="76" spans="2:14">
      <c r="B76" s="12" t="s">
        <v>257</v>
      </c>
      <c r="C76" s="12" t="s">
        <v>258</v>
      </c>
      <c r="D76" s="12" t="s">
        <v>25</v>
      </c>
      <c r="E76" s="12">
        <v>5</v>
      </c>
      <c r="F76" s="13">
        <v>45322</v>
      </c>
      <c r="G76" s="12" t="s">
        <v>118</v>
      </c>
      <c r="H76" s="12" t="s">
        <v>101</v>
      </c>
      <c r="I76" s="12" t="s">
        <v>102</v>
      </c>
      <c r="J76" s="12" t="s">
        <v>20</v>
      </c>
      <c r="K76" s="12" t="s">
        <v>41</v>
      </c>
      <c r="L76" s="12">
        <v>35</v>
      </c>
      <c r="M76" s="12" t="s">
        <v>29</v>
      </c>
      <c r="N7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zoomScale="70" zoomScaleNormal="70" workbookViewId="0">
      <selection activeCell="F11" sqref="F11"/>
    </sheetView>
  </sheetViews>
  <sheetFormatPr defaultColWidth="9" defaultRowHeight="13.5"/>
  <cols>
    <col min="1" max="1" width="15.625" customWidth="1"/>
    <col min="2" max="2" width="36" customWidth="1"/>
    <col min="4" max="4" width="15.625" customWidth="1"/>
    <col min="5" max="5" width="33.75" customWidth="1"/>
    <col min="6" max="6" width="9" style="1"/>
    <col min="7" max="7" width="20.875" customWidth="1"/>
    <col min="8" max="8" width="19" customWidth="1"/>
    <col min="9" max="9" width="8.75" customWidth="1"/>
    <col min="10" max="10" width="9.375" customWidth="1"/>
    <col min="11" max="11" width="15.5" customWidth="1"/>
    <col min="12" max="12" width="14.625" customWidth="1"/>
    <col min="13" max="13" width="13.125" customWidth="1"/>
  </cols>
  <sheetData>
    <row r="1" spans="1:13" ht="20.25">
      <c r="A1" s="15" t="s">
        <v>259</v>
      </c>
      <c r="B1" s="15"/>
      <c r="D1" s="15" t="s">
        <v>260</v>
      </c>
      <c r="E1" s="15"/>
      <c r="G1" s="16" t="s">
        <v>261</v>
      </c>
      <c r="H1" s="16"/>
      <c r="I1" s="16"/>
      <c r="J1" s="16"/>
      <c r="K1" s="16"/>
      <c r="L1" s="16"/>
      <c r="M1" s="16"/>
    </row>
    <row r="2" spans="1:13">
      <c r="A2" t="s">
        <v>262</v>
      </c>
      <c r="B2" t="s">
        <v>263</v>
      </c>
      <c r="D2" s="2" t="s">
        <v>262</v>
      </c>
      <c r="E2" t="s">
        <v>264</v>
      </c>
    </row>
    <row r="3" spans="1:13">
      <c r="A3" s="3" t="s">
        <v>51</v>
      </c>
      <c r="B3" s="4">
        <v>5.1481481481481497</v>
      </c>
      <c r="D3" s="5">
        <v>45292</v>
      </c>
      <c r="E3" s="4">
        <v>2</v>
      </c>
      <c r="G3" t="s">
        <v>265</v>
      </c>
      <c r="H3" t="s">
        <v>266</v>
      </c>
    </row>
    <row r="4" spans="1:13">
      <c r="A4" s="3" t="s">
        <v>22</v>
      </c>
      <c r="B4" s="4">
        <v>4.71428571428571</v>
      </c>
      <c r="D4" s="5">
        <v>45293</v>
      </c>
      <c r="E4" s="4">
        <v>3</v>
      </c>
      <c r="G4" t="s">
        <v>262</v>
      </c>
      <c r="H4" t="s">
        <v>25</v>
      </c>
      <c r="I4" t="s">
        <v>16</v>
      </c>
      <c r="J4" t="s">
        <v>44</v>
      </c>
      <c r="K4" t="s">
        <v>37</v>
      </c>
      <c r="L4" t="s">
        <v>54</v>
      </c>
      <c r="M4" t="s">
        <v>267</v>
      </c>
    </row>
    <row r="5" spans="1:13">
      <c r="A5" s="3" t="s">
        <v>34</v>
      </c>
      <c r="B5" s="4">
        <v>3.5</v>
      </c>
      <c r="D5" s="5">
        <v>45294</v>
      </c>
      <c r="E5" s="4">
        <v>2</v>
      </c>
      <c r="G5" s="3" t="s">
        <v>51</v>
      </c>
      <c r="H5" s="4">
        <v>11</v>
      </c>
      <c r="I5" s="4">
        <v>5</v>
      </c>
      <c r="J5" s="4">
        <v>4</v>
      </c>
      <c r="K5" s="4">
        <v>6</v>
      </c>
      <c r="L5" s="4">
        <v>1</v>
      </c>
      <c r="M5" s="4">
        <v>27</v>
      </c>
    </row>
    <row r="6" spans="1:13">
      <c r="A6" s="3" t="s">
        <v>29</v>
      </c>
      <c r="B6" s="4">
        <v>6</v>
      </c>
      <c r="D6" s="5">
        <v>45295</v>
      </c>
      <c r="E6" s="4">
        <v>2</v>
      </c>
      <c r="G6" s="3" t="s">
        <v>22</v>
      </c>
      <c r="H6" s="4">
        <v>2</v>
      </c>
      <c r="I6" s="4">
        <v>2</v>
      </c>
      <c r="J6" s="4"/>
      <c r="K6" s="4">
        <v>3</v>
      </c>
      <c r="L6" s="4"/>
      <c r="M6" s="4">
        <v>7</v>
      </c>
    </row>
    <row r="7" spans="1:13">
      <c r="A7" s="3" t="s">
        <v>267</v>
      </c>
      <c r="B7" s="4">
        <v>5.3285714285714301</v>
      </c>
      <c r="D7" s="5">
        <v>45296</v>
      </c>
      <c r="E7" s="4">
        <v>2</v>
      </c>
      <c r="G7" s="3" t="s">
        <v>34</v>
      </c>
      <c r="H7" s="4">
        <v>5</v>
      </c>
      <c r="I7" s="4"/>
      <c r="J7" s="4"/>
      <c r="K7" s="4">
        <v>1</v>
      </c>
      <c r="L7" s="4"/>
      <c r="M7" s="4">
        <v>6</v>
      </c>
    </row>
    <row r="8" spans="1:13">
      <c r="D8" s="5">
        <v>45297</v>
      </c>
      <c r="E8" s="4">
        <v>2</v>
      </c>
      <c r="G8" s="3" t="s">
        <v>29</v>
      </c>
      <c r="H8" s="4">
        <v>11</v>
      </c>
      <c r="I8" s="4">
        <v>2</v>
      </c>
      <c r="J8" s="4">
        <v>6</v>
      </c>
      <c r="K8" s="4">
        <v>5</v>
      </c>
      <c r="L8" s="4">
        <v>6</v>
      </c>
      <c r="M8" s="4">
        <v>30</v>
      </c>
    </row>
    <row r="9" spans="1:13">
      <c r="D9" s="5">
        <v>45298</v>
      </c>
      <c r="E9" s="4">
        <v>2</v>
      </c>
      <c r="G9" s="3" t="s">
        <v>267</v>
      </c>
      <c r="H9" s="4">
        <v>29</v>
      </c>
      <c r="I9" s="4">
        <v>9</v>
      </c>
      <c r="J9" s="4">
        <v>10</v>
      </c>
      <c r="K9" s="4">
        <v>15</v>
      </c>
      <c r="L9" s="4">
        <v>7</v>
      </c>
      <c r="M9" s="4">
        <v>70</v>
      </c>
    </row>
    <row r="10" spans="1:13">
      <c r="D10" s="5">
        <v>45299</v>
      </c>
      <c r="E10" s="4">
        <v>4</v>
      </c>
    </row>
    <row r="11" spans="1:13" ht="18.75">
      <c r="A11" s="17" t="s">
        <v>268</v>
      </c>
      <c r="B11" s="17"/>
      <c r="D11" s="5">
        <v>45300</v>
      </c>
      <c r="E11" s="4">
        <v>2</v>
      </c>
    </row>
    <row r="12" spans="1:13">
      <c r="A12" t="s">
        <v>262</v>
      </c>
      <c r="B12" t="s">
        <v>263</v>
      </c>
      <c r="D12" s="5">
        <v>45301</v>
      </c>
      <c r="E12" s="4">
        <v>2</v>
      </c>
    </row>
    <row r="13" spans="1:13">
      <c r="A13" s="3" t="s">
        <v>28</v>
      </c>
      <c r="B13" s="4">
        <v>5.6956521739130404</v>
      </c>
      <c r="D13" s="5">
        <v>45302</v>
      </c>
      <c r="E13" s="4">
        <v>2</v>
      </c>
    </row>
    <row r="14" spans="1:13">
      <c r="A14" s="3" t="s">
        <v>20</v>
      </c>
      <c r="B14" s="4">
        <v>4.8181818181818201</v>
      </c>
      <c r="D14" s="5">
        <v>45303</v>
      </c>
      <c r="E14" s="4">
        <v>2</v>
      </c>
    </row>
    <row r="15" spans="1:13">
      <c r="A15" s="3" t="s">
        <v>40</v>
      </c>
      <c r="B15" s="4">
        <v>5.5</v>
      </c>
      <c r="D15" s="5">
        <v>45304</v>
      </c>
      <c r="E15" s="4">
        <v>2</v>
      </c>
    </row>
    <row r="16" spans="1:13">
      <c r="A16" s="3" t="s">
        <v>47</v>
      </c>
      <c r="B16" s="4">
        <v>5.4117647058823497</v>
      </c>
      <c r="D16" s="5">
        <v>45305</v>
      </c>
      <c r="E16" s="4">
        <v>2</v>
      </c>
    </row>
    <row r="17" spans="1:5">
      <c r="A17" s="3" t="s">
        <v>267</v>
      </c>
      <c r="B17" s="4">
        <v>5.3285714285714301</v>
      </c>
      <c r="D17" s="5">
        <v>45306</v>
      </c>
      <c r="E17" s="4">
        <v>2</v>
      </c>
    </row>
    <row r="18" spans="1:5">
      <c r="D18" s="5">
        <v>45307</v>
      </c>
      <c r="E18" s="4">
        <v>2</v>
      </c>
    </row>
    <row r="19" spans="1:5">
      <c r="D19" s="5">
        <v>45308</v>
      </c>
      <c r="E19" s="4">
        <v>2</v>
      </c>
    </row>
    <row r="20" spans="1:5" ht="18.75">
      <c r="A20" s="15" t="s">
        <v>269</v>
      </c>
      <c r="B20" s="15"/>
      <c r="D20" s="5">
        <v>45309</v>
      </c>
      <c r="E20" s="4">
        <v>2</v>
      </c>
    </row>
    <row r="21" spans="1:5">
      <c r="A21" t="s">
        <v>262</v>
      </c>
      <c r="B21" t="s">
        <v>270</v>
      </c>
      <c r="D21" s="5">
        <v>45310</v>
      </c>
      <c r="E21" s="4">
        <v>2</v>
      </c>
    </row>
    <row r="22" spans="1:5">
      <c r="A22" s="3" t="s">
        <v>17</v>
      </c>
      <c r="B22" s="4">
        <v>26.98</v>
      </c>
      <c r="D22" s="5">
        <v>45311</v>
      </c>
      <c r="E22" s="4">
        <v>2</v>
      </c>
    </row>
    <row r="23" spans="1:5">
      <c r="A23" s="3" t="s">
        <v>55</v>
      </c>
      <c r="B23" s="4">
        <v>19.6666666666667</v>
      </c>
      <c r="D23" s="5">
        <v>45312</v>
      </c>
      <c r="E23" s="4">
        <v>2</v>
      </c>
    </row>
    <row r="24" spans="1:5">
      <c r="A24" s="3" t="s">
        <v>118</v>
      </c>
      <c r="B24" s="4">
        <v>31.625</v>
      </c>
      <c r="D24" s="5">
        <v>45313</v>
      </c>
      <c r="E24" s="4">
        <v>2</v>
      </c>
    </row>
    <row r="25" spans="1:5">
      <c r="A25" s="3" t="s">
        <v>267</v>
      </c>
      <c r="B25" s="4">
        <v>26.257142857142899</v>
      </c>
      <c r="D25" s="5">
        <v>45314</v>
      </c>
      <c r="E25" s="4">
        <v>2</v>
      </c>
    </row>
    <row r="26" spans="1:5">
      <c r="D26" s="5">
        <v>45315</v>
      </c>
      <c r="E26" s="4">
        <v>4</v>
      </c>
    </row>
    <row r="27" spans="1:5">
      <c r="D27" s="5">
        <v>45316</v>
      </c>
      <c r="E27" s="4">
        <v>2</v>
      </c>
    </row>
    <row r="28" spans="1:5">
      <c r="D28" s="5">
        <v>45317</v>
      </c>
      <c r="E28" s="4">
        <v>2</v>
      </c>
    </row>
    <row r="29" spans="1:5">
      <c r="D29" s="5">
        <v>45318</v>
      </c>
      <c r="E29" s="4">
        <v>2</v>
      </c>
    </row>
    <row r="30" spans="1:5">
      <c r="D30" s="5">
        <v>45319</v>
      </c>
      <c r="E30" s="4">
        <v>2</v>
      </c>
    </row>
    <row r="31" spans="1:5">
      <c r="D31" s="5">
        <v>45320</v>
      </c>
      <c r="E31" s="4">
        <v>5</v>
      </c>
    </row>
    <row r="32" spans="1:5">
      <c r="D32" s="5">
        <v>45321</v>
      </c>
      <c r="E32" s="4">
        <v>2</v>
      </c>
    </row>
    <row r="33" spans="4:5">
      <c r="D33" s="5">
        <v>45322</v>
      </c>
      <c r="E33" s="4">
        <v>2</v>
      </c>
    </row>
    <row r="34" spans="4:5">
      <c r="D34" s="6" t="s">
        <v>267</v>
      </c>
      <c r="E34" s="4">
        <v>70</v>
      </c>
    </row>
    <row r="107" spans="11:11">
      <c r="K107" s="7"/>
    </row>
    <row r="108" spans="11:11">
      <c r="K108" s="7"/>
    </row>
  </sheetData>
  <mergeCells count="5">
    <mergeCell ref="A1:B1"/>
    <mergeCell ref="D1:E1"/>
    <mergeCell ref="G1:M1"/>
    <mergeCell ref="A11:B11"/>
    <mergeCell ref="A20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50" zoomScaleNormal="50" workbookViewId="0">
      <selection activeCell="AH3" sqref="AH3"/>
    </sheetView>
  </sheetViews>
  <sheetFormatPr defaultColWidth="9" defaultRowHeight="13.5"/>
  <sheetData/>
  <pageMargins left="0.7" right="0.7" top="0.75" bottom="0.75" header="0.3" footer="0.3"/>
  <pageSetup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Call Center Data</vt:lpstr>
      <vt:lpstr>Summarize</vt:lpstr>
      <vt:lpstr>Dashbaord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family</cp:lastModifiedBy>
  <dcterms:created xsi:type="dcterms:W3CDTF">2024-02-19T11:52:00Z</dcterms:created>
  <dcterms:modified xsi:type="dcterms:W3CDTF">2026-02-20T14:45:45Z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CBCB6AC784C24F51BDDB95D25C9BCA57_12</vt:lpwstr>
  </property>
  <property fmtid="{D5CDD505-2E9C-101B-9397-08002B2CF9AE}" pid="3" name="KSOProductBuildVer">
    <vt:lpwstr>1033-12.2.0.22549</vt:lpwstr>
  </property>
</Properties>
</file>